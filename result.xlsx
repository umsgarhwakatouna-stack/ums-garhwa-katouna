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I:\website\"/>
    </mc:Choice>
  </mc:AlternateContent>
  <xr:revisionPtr revIDLastSave="0" documentId="13_ncr:1_{437036F2-C343-43DB-A1F3-D429D12FF31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Mulyankan Panjee Bihar" sheetId="1" r:id="rId1"/>
  </sheets>
  <definedNames>
    <definedName name="_xlnm._FilterDatabase" localSheetId="0" hidden="1">'Mulyankan Panjee Bihar'!$A$1:$AL$13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8" i="1" l="1"/>
  <c r="AG105" i="1"/>
  <c r="AI105" i="1" s="1"/>
  <c r="AJ105" i="1" s="1"/>
  <c r="AK105" i="1" s="1"/>
  <c r="AL105" i="1" s="1"/>
  <c r="S105" i="1"/>
  <c r="AG104" i="1"/>
  <c r="S104" i="1"/>
  <c r="AI104" i="1" s="1"/>
  <c r="AJ104" i="1" s="1"/>
  <c r="AK104" i="1" s="1"/>
  <c r="AL104" i="1" s="1"/>
  <c r="AI103" i="1"/>
  <c r="AJ103" i="1" s="1"/>
  <c r="AK103" i="1" s="1"/>
  <c r="AL103" i="1" s="1"/>
  <c r="AG103" i="1"/>
  <c r="S103" i="1"/>
  <c r="AG102" i="1"/>
  <c r="S102" i="1"/>
  <c r="AI102" i="1" s="1"/>
  <c r="AJ102" i="1" s="1"/>
  <c r="AK102" i="1" s="1"/>
  <c r="AL102" i="1" s="1"/>
  <c r="AG101" i="1"/>
  <c r="S101" i="1"/>
  <c r="AI101" i="1" s="1"/>
  <c r="AJ101" i="1" s="1"/>
  <c r="AK101" i="1" s="1"/>
  <c r="AL101" i="1" s="1"/>
  <c r="AG100" i="1"/>
  <c r="S100" i="1"/>
  <c r="AG99" i="1"/>
  <c r="S99" i="1"/>
  <c r="AI99" i="1" s="1"/>
  <c r="AJ99" i="1" s="1"/>
  <c r="AK99" i="1" s="1"/>
  <c r="AL99" i="1" s="1"/>
  <c r="AG98" i="1"/>
  <c r="S98" i="1"/>
  <c r="AI98" i="1" s="1"/>
  <c r="AJ98" i="1" s="1"/>
  <c r="AK98" i="1" s="1"/>
  <c r="AL98" i="1" s="1"/>
  <c r="AI97" i="1"/>
  <c r="AJ97" i="1" s="1"/>
  <c r="AK97" i="1" s="1"/>
  <c r="AL97" i="1" s="1"/>
  <c r="AG97" i="1"/>
  <c r="S97" i="1"/>
  <c r="AG96" i="1"/>
  <c r="S96" i="1"/>
  <c r="AI96" i="1" s="1"/>
  <c r="AJ96" i="1" s="1"/>
  <c r="AK96" i="1" s="1"/>
  <c r="AL96" i="1" s="1"/>
  <c r="AG95" i="1"/>
  <c r="S95" i="1"/>
  <c r="AI95" i="1" s="1"/>
  <c r="AJ95" i="1" s="1"/>
  <c r="AK95" i="1" s="1"/>
  <c r="AL95" i="1" s="1"/>
  <c r="AK94" i="1"/>
  <c r="AL94" i="1" s="1"/>
  <c r="AG94" i="1"/>
  <c r="S94" i="1"/>
  <c r="AI94" i="1" s="1"/>
  <c r="AJ94" i="1" s="1"/>
  <c r="AG93" i="1"/>
  <c r="AI93" i="1" s="1"/>
  <c r="AJ93" i="1" s="1"/>
  <c r="AK93" i="1" s="1"/>
  <c r="AL93" i="1" s="1"/>
  <c r="S93" i="1"/>
  <c r="AG92" i="1"/>
  <c r="S92" i="1"/>
  <c r="AI92" i="1" s="1"/>
  <c r="AJ92" i="1" s="1"/>
  <c r="AK92" i="1" s="1"/>
  <c r="AL92" i="1" s="1"/>
  <c r="AI91" i="1"/>
  <c r="AJ91" i="1" s="1"/>
  <c r="AK91" i="1" s="1"/>
  <c r="AL91" i="1" s="1"/>
  <c r="AG91" i="1"/>
  <c r="S91" i="1"/>
  <c r="AG88" i="1"/>
  <c r="S88" i="1"/>
  <c r="AG87" i="1"/>
  <c r="S87" i="1"/>
  <c r="AI87" i="1" s="1"/>
  <c r="AJ87" i="1" s="1"/>
  <c r="AK87" i="1" s="1"/>
  <c r="AL87" i="1" s="1"/>
  <c r="AG86" i="1"/>
  <c r="S86" i="1"/>
  <c r="AI86" i="1" s="1"/>
  <c r="AJ86" i="1" s="1"/>
  <c r="AK86" i="1" s="1"/>
  <c r="AL86" i="1" s="1"/>
  <c r="AG85" i="1"/>
  <c r="AI85" i="1" s="1"/>
  <c r="AJ85" i="1" s="1"/>
  <c r="AK85" i="1" s="1"/>
  <c r="AL85" i="1" s="1"/>
  <c r="S85" i="1"/>
  <c r="AG84" i="1"/>
  <c r="S84" i="1"/>
  <c r="AI84" i="1" s="1"/>
  <c r="AJ84" i="1" s="1"/>
  <c r="AK84" i="1" s="1"/>
  <c r="AL84" i="1" s="1"/>
  <c r="AG83" i="1"/>
  <c r="S83" i="1"/>
  <c r="AI83" i="1" s="1"/>
  <c r="AJ83" i="1" s="1"/>
  <c r="AK83" i="1" s="1"/>
  <c r="AL83" i="1" s="1"/>
  <c r="AG82" i="1"/>
  <c r="S82" i="1"/>
  <c r="AG81" i="1"/>
  <c r="S81" i="1"/>
  <c r="AI81" i="1" s="1"/>
  <c r="AJ81" i="1" s="1"/>
  <c r="AK81" i="1" s="1"/>
  <c r="AL81" i="1" s="1"/>
  <c r="AG80" i="1"/>
  <c r="S80" i="1"/>
  <c r="AI80" i="1" s="1"/>
  <c r="AJ80" i="1" s="1"/>
  <c r="AK80" i="1" s="1"/>
  <c r="AL80" i="1" s="1"/>
  <c r="AI79" i="1"/>
  <c r="AJ79" i="1" s="1"/>
  <c r="AK79" i="1" s="1"/>
  <c r="AL79" i="1" s="1"/>
  <c r="AG79" i="1"/>
  <c r="S79" i="1"/>
  <c r="AG78" i="1"/>
  <c r="S78" i="1"/>
  <c r="AI78" i="1" s="1"/>
  <c r="AJ78" i="1" s="1"/>
  <c r="AK78" i="1" s="1"/>
  <c r="AL78" i="1" s="1"/>
  <c r="AG77" i="1"/>
  <c r="S77" i="1"/>
  <c r="AI77" i="1" s="1"/>
  <c r="AJ77" i="1" s="1"/>
  <c r="AK77" i="1" s="1"/>
  <c r="AL77" i="1" s="1"/>
  <c r="AK76" i="1"/>
  <c r="AL76" i="1" s="1"/>
  <c r="AG76" i="1"/>
  <c r="S76" i="1"/>
  <c r="AI76" i="1" s="1"/>
  <c r="AJ76" i="1" s="1"/>
  <c r="AG75" i="1"/>
  <c r="AI75" i="1" s="1"/>
  <c r="AJ75" i="1" s="1"/>
  <c r="AK75" i="1" s="1"/>
  <c r="AL75" i="1" s="1"/>
  <c r="S75" i="1"/>
  <c r="AG74" i="1"/>
  <c r="S74" i="1"/>
  <c r="AI74" i="1" s="1"/>
  <c r="AJ74" i="1" s="1"/>
  <c r="AK74" i="1" s="1"/>
  <c r="AL74" i="1" s="1"/>
  <c r="AI71" i="1"/>
  <c r="AJ71" i="1" s="1"/>
  <c r="AK71" i="1" s="1"/>
  <c r="AL71" i="1" s="1"/>
  <c r="AG71" i="1"/>
  <c r="S71" i="1"/>
  <c r="AG70" i="1"/>
  <c r="S70" i="1"/>
  <c r="AG69" i="1"/>
  <c r="S69" i="1"/>
  <c r="AI69" i="1" s="1"/>
  <c r="AJ69" i="1" s="1"/>
  <c r="AK69" i="1" s="1"/>
  <c r="AL69" i="1" s="1"/>
  <c r="AG68" i="1"/>
  <c r="S68" i="1"/>
  <c r="AI68" i="1" s="1"/>
  <c r="AJ68" i="1" s="1"/>
  <c r="AK68" i="1" s="1"/>
  <c r="AL68" i="1" s="1"/>
  <c r="AG67" i="1"/>
  <c r="AI67" i="1" s="1"/>
  <c r="AJ67" i="1" s="1"/>
  <c r="AK67" i="1" s="1"/>
  <c r="AL67" i="1" s="1"/>
  <c r="S67" i="1"/>
  <c r="AG66" i="1"/>
  <c r="S66" i="1"/>
  <c r="AI66" i="1" s="1"/>
  <c r="AJ66" i="1" s="1"/>
  <c r="AK66" i="1" s="1"/>
  <c r="AL66" i="1" s="1"/>
  <c r="AG65" i="1"/>
  <c r="S65" i="1"/>
  <c r="AI65" i="1" s="1"/>
  <c r="AJ65" i="1" s="1"/>
  <c r="AK65" i="1" s="1"/>
  <c r="AL65" i="1" s="1"/>
  <c r="AG64" i="1"/>
  <c r="S64" i="1"/>
  <c r="AG63" i="1"/>
  <c r="S63" i="1"/>
  <c r="AI63" i="1" s="1"/>
  <c r="AJ63" i="1" s="1"/>
  <c r="AK63" i="1" s="1"/>
  <c r="AL63" i="1" s="1"/>
  <c r="AG62" i="1"/>
  <c r="S62" i="1"/>
  <c r="AI62" i="1" s="1"/>
  <c r="AJ62" i="1" s="1"/>
  <c r="AK62" i="1" s="1"/>
  <c r="AL62" i="1" s="1"/>
  <c r="AI61" i="1"/>
  <c r="AJ61" i="1" s="1"/>
  <c r="AK61" i="1" s="1"/>
  <c r="AL61" i="1" s="1"/>
  <c r="AG61" i="1"/>
  <c r="S61" i="1"/>
  <c r="AG60" i="1"/>
  <c r="S60" i="1"/>
  <c r="AI60" i="1" s="1"/>
  <c r="AJ60" i="1" s="1"/>
  <c r="AK60" i="1" s="1"/>
  <c r="AL60" i="1" s="1"/>
  <c r="AG59" i="1"/>
  <c r="S59" i="1"/>
  <c r="AI59" i="1" s="1"/>
  <c r="AJ59" i="1" s="1"/>
  <c r="AK59" i="1" s="1"/>
  <c r="AL59" i="1" s="1"/>
  <c r="AK58" i="1"/>
  <c r="AL58" i="1" s="1"/>
  <c r="AG58" i="1"/>
  <c r="S58" i="1"/>
  <c r="AI58" i="1" s="1"/>
  <c r="AJ58" i="1" s="1"/>
  <c r="AG57" i="1"/>
  <c r="AI57" i="1" s="1"/>
  <c r="AJ57" i="1" s="1"/>
  <c r="AK57" i="1" s="1"/>
  <c r="AL57" i="1" s="1"/>
  <c r="S57" i="1"/>
  <c r="AG56" i="1"/>
  <c r="S56" i="1"/>
  <c r="AI56" i="1" s="1"/>
  <c r="AJ56" i="1" s="1"/>
  <c r="AK56" i="1" s="1"/>
  <c r="AL56" i="1" s="1"/>
  <c r="AI55" i="1"/>
  <c r="AJ55" i="1" s="1"/>
  <c r="AK55" i="1" s="1"/>
  <c r="AL55" i="1" s="1"/>
  <c r="AG55" i="1"/>
  <c r="S55" i="1"/>
  <c r="AG52" i="1"/>
  <c r="S52" i="1"/>
  <c r="AG51" i="1"/>
  <c r="S51" i="1"/>
  <c r="AI51" i="1" s="1"/>
  <c r="AJ51" i="1" s="1"/>
  <c r="AK51" i="1" s="1"/>
  <c r="AL51" i="1" s="1"/>
  <c r="AG50" i="1"/>
  <c r="S50" i="1"/>
  <c r="AI50" i="1" s="1"/>
  <c r="AJ50" i="1" s="1"/>
  <c r="AK50" i="1" s="1"/>
  <c r="AL50" i="1" s="1"/>
  <c r="AG49" i="1"/>
  <c r="AI49" i="1" s="1"/>
  <c r="AJ49" i="1" s="1"/>
  <c r="AK49" i="1" s="1"/>
  <c r="AL49" i="1" s="1"/>
  <c r="S49" i="1"/>
  <c r="AG48" i="1"/>
  <c r="S48" i="1"/>
  <c r="AI48" i="1" s="1"/>
  <c r="AJ48" i="1" s="1"/>
  <c r="AK48" i="1" s="1"/>
  <c r="AL48" i="1" s="1"/>
  <c r="AG47" i="1"/>
  <c r="S47" i="1"/>
  <c r="AI47" i="1" s="1"/>
  <c r="AJ47" i="1" s="1"/>
  <c r="AK47" i="1" s="1"/>
  <c r="AL47" i="1" s="1"/>
  <c r="AG46" i="1"/>
  <c r="S46" i="1"/>
  <c r="AG45" i="1"/>
  <c r="S45" i="1"/>
  <c r="AI45" i="1" s="1"/>
  <c r="AJ45" i="1" s="1"/>
  <c r="AK45" i="1" s="1"/>
  <c r="AL45" i="1" s="1"/>
  <c r="AG42" i="1"/>
  <c r="S42" i="1"/>
  <c r="AI42" i="1" s="1"/>
  <c r="AJ42" i="1" s="1"/>
  <c r="AK42" i="1" s="1"/>
  <c r="AL42" i="1" s="1"/>
  <c r="AI41" i="1"/>
  <c r="AJ41" i="1" s="1"/>
  <c r="AK41" i="1" s="1"/>
  <c r="AL41" i="1" s="1"/>
  <c r="AG41" i="1"/>
  <c r="S41" i="1"/>
  <c r="AI40" i="1"/>
  <c r="AJ40" i="1" s="1"/>
  <c r="AK40" i="1" s="1"/>
  <c r="AL40" i="1" s="1"/>
  <c r="AK39" i="1"/>
  <c r="AL39" i="1" s="1"/>
  <c r="AG39" i="1"/>
  <c r="S39" i="1"/>
  <c r="AI39" i="1" s="1"/>
  <c r="AJ39" i="1" s="1"/>
  <c r="AG38" i="1"/>
  <c r="AI38" i="1" s="1"/>
  <c r="AJ38" i="1" s="1"/>
  <c r="AK38" i="1" s="1"/>
  <c r="AL38" i="1" s="1"/>
  <c r="S38" i="1"/>
  <c r="AG37" i="1"/>
  <c r="S37" i="1"/>
  <c r="AI37" i="1" s="1"/>
  <c r="AJ37" i="1" s="1"/>
  <c r="AK37" i="1" s="1"/>
  <c r="AL37" i="1" s="1"/>
  <c r="AI36" i="1"/>
  <c r="AJ36" i="1" s="1"/>
  <c r="AK36" i="1" s="1"/>
  <c r="AL36" i="1" s="1"/>
  <c r="AG36" i="1"/>
  <c r="S36" i="1"/>
  <c r="AG35" i="1"/>
  <c r="AI35" i="1" s="1"/>
  <c r="AJ35" i="1" s="1"/>
  <c r="AK35" i="1" s="1"/>
  <c r="AL35" i="1" s="1"/>
  <c r="AG34" i="1"/>
  <c r="S34" i="1"/>
  <c r="AI34" i="1" s="1"/>
  <c r="AJ34" i="1" s="1"/>
  <c r="AK34" i="1" s="1"/>
  <c r="AL34" i="1" s="1"/>
  <c r="AG33" i="1"/>
  <c r="S33" i="1"/>
  <c r="AI33" i="1" s="1"/>
  <c r="AJ33" i="1" s="1"/>
  <c r="AK33" i="1" s="1"/>
  <c r="AL33" i="1" s="1"/>
  <c r="AG32" i="1"/>
  <c r="S32" i="1"/>
  <c r="AI32" i="1" s="1"/>
  <c r="AJ32" i="1" s="1"/>
  <c r="AK32" i="1" s="1"/>
  <c r="AL32" i="1" s="1"/>
  <c r="AJ29" i="1"/>
  <c r="AK29" i="1" s="1"/>
  <c r="AL29" i="1" s="1"/>
  <c r="AG29" i="1"/>
  <c r="S29" i="1"/>
  <c r="AI29" i="1" s="1"/>
  <c r="AG28" i="1"/>
  <c r="S28" i="1"/>
  <c r="AI28" i="1" s="1"/>
  <c r="AJ28" i="1" s="1"/>
  <c r="AK28" i="1" s="1"/>
  <c r="AL28" i="1" s="1"/>
  <c r="AG27" i="1"/>
  <c r="S27" i="1"/>
  <c r="AI27" i="1" s="1"/>
  <c r="AJ27" i="1" s="1"/>
  <c r="AK27" i="1" s="1"/>
  <c r="AL27" i="1" s="1"/>
  <c r="AG26" i="1"/>
  <c r="S26" i="1"/>
  <c r="AG25" i="1"/>
  <c r="S25" i="1"/>
  <c r="AI25" i="1" s="1"/>
  <c r="AJ25" i="1" s="1"/>
  <c r="AK25" i="1" s="1"/>
  <c r="AL25" i="1" s="1"/>
  <c r="AG22" i="1"/>
  <c r="S22" i="1"/>
  <c r="AI22" i="1" s="1"/>
  <c r="AJ22" i="1" s="1"/>
  <c r="AK22" i="1" s="1"/>
  <c r="AL22" i="1" s="1"/>
  <c r="AG21" i="1"/>
  <c r="S21" i="1"/>
  <c r="AI21" i="1" s="1"/>
  <c r="AJ21" i="1" s="1"/>
  <c r="AK21" i="1" s="1"/>
  <c r="AL21" i="1" s="1"/>
  <c r="AG20" i="1"/>
  <c r="S20" i="1"/>
  <c r="AI20" i="1" s="1"/>
  <c r="AJ20" i="1" s="1"/>
  <c r="AK20" i="1" s="1"/>
  <c r="AL20" i="1" s="1"/>
  <c r="AJ19" i="1"/>
  <c r="AK19" i="1" s="1"/>
  <c r="AL19" i="1" s="1"/>
  <c r="AG19" i="1"/>
  <c r="S19" i="1"/>
  <c r="AI19" i="1" s="1"/>
  <c r="AG18" i="1"/>
  <c r="S18" i="1"/>
  <c r="AI18" i="1" s="1"/>
  <c r="AJ18" i="1" s="1"/>
  <c r="AK18" i="1" s="1"/>
  <c r="AL18" i="1" s="1"/>
  <c r="AG17" i="1"/>
  <c r="S17" i="1"/>
  <c r="AI17" i="1" s="1"/>
  <c r="AJ17" i="1" s="1"/>
  <c r="AK17" i="1" s="1"/>
  <c r="AL17" i="1" s="1"/>
  <c r="AG14" i="1"/>
  <c r="S14" i="1"/>
  <c r="AG13" i="1"/>
  <c r="AI13" i="1" s="1"/>
  <c r="AJ13" i="1" s="1"/>
  <c r="AK13" i="1" s="1"/>
  <c r="AL13" i="1" s="1"/>
  <c r="S13" i="1"/>
  <c r="AG12" i="1"/>
  <c r="S12" i="1"/>
  <c r="AG11" i="1"/>
  <c r="S11" i="1"/>
  <c r="AI11" i="1" s="1"/>
  <c r="AJ11" i="1" s="1"/>
  <c r="AK11" i="1" s="1"/>
  <c r="AL11" i="1" s="1"/>
  <c r="AG10" i="1"/>
  <c r="S10" i="1"/>
  <c r="AG9" i="1"/>
  <c r="AI9" i="1" s="1"/>
  <c r="AJ9" i="1" s="1"/>
  <c r="AK9" i="1" s="1"/>
  <c r="AL9" i="1" s="1"/>
  <c r="S9" i="1"/>
  <c r="AG8" i="1"/>
  <c r="S8" i="1"/>
  <c r="AI8" i="1" s="1"/>
  <c r="AK8" i="1" l="1"/>
  <c r="AL8" i="1" s="1"/>
  <c r="AI10" i="1"/>
  <c r="AJ10" i="1" s="1"/>
  <c r="AK10" i="1" s="1"/>
  <c r="AL10" i="1" s="1"/>
  <c r="AI14" i="1"/>
  <c r="AJ14" i="1" s="1"/>
  <c r="AK14" i="1" s="1"/>
  <c r="AL14" i="1" s="1"/>
  <c r="AI26" i="1"/>
  <c r="AJ26" i="1" s="1"/>
  <c r="AK26" i="1" s="1"/>
  <c r="AL26" i="1" s="1"/>
  <c r="AI46" i="1"/>
  <c r="AJ46" i="1" s="1"/>
  <c r="AK46" i="1" s="1"/>
  <c r="AL46" i="1" s="1"/>
  <c r="AI52" i="1"/>
  <c r="AJ52" i="1" s="1"/>
  <c r="AK52" i="1" s="1"/>
  <c r="AL52" i="1" s="1"/>
  <c r="AI64" i="1"/>
  <c r="AJ64" i="1" s="1"/>
  <c r="AK64" i="1" s="1"/>
  <c r="AL64" i="1" s="1"/>
  <c r="AI70" i="1"/>
  <c r="AJ70" i="1" s="1"/>
  <c r="AK70" i="1" s="1"/>
  <c r="AL70" i="1" s="1"/>
  <c r="AI82" i="1"/>
  <c r="AJ82" i="1" s="1"/>
  <c r="AK82" i="1" s="1"/>
  <c r="AL82" i="1" s="1"/>
  <c r="AI88" i="1"/>
  <c r="AJ88" i="1" s="1"/>
  <c r="AK88" i="1" s="1"/>
  <c r="AL88" i="1" s="1"/>
  <c r="AI100" i="1"/>
  <c r="AJ100" i="1" s="1"/>
  <c r="AK100" i="1" s="1"/>
  <c r="AL100" i="1" s="1"/>
  <c r="AI12" i="1"/>
  <c r="AJ12" i="1" s="1"/>
  <c r="AK12" i="1" s="1"/>
  <c r="AL12" i="1" s="1"/>
</calcChain>
</file>

<file path=xl/sharedStrings.xml><?xml version="1.0" encoding="utf-8"?>
<sst xmlns="http://schemas.openxmlformats.org/spreadsheetml/2006/main" count="394" uniqueCount="269">
  <si>
    <t>उत्क्रमित मध्य विद्यालय, गढ़वा कटौना
प्रखंड - बरहट  |  जिला - जमुई, बिहार  |  कक्षा 1 से 8  |  सरकारी विद्यालय, बिहार सरकार</t>
  </si>
  <si>
    <t>विद्यालय स्तरीय मूल्यांकन पंजी — शैक्षणिक सत्र 2024-2025</t>
  </si>
  <si>
    <t>📘 Class 1-2: Hindi, English, Math (FM 50 each | Total 150)     📗 Class 3-5: Hindi, Math, English, EVS (FM 50 each | Total 200)     📕 Class 6-8: Hindi, Math, English, Sanskrit, Soc.Sci, Science (FM 50 each | Total 300)</t>
  </si>
  <si>
    <t>Grade Scale (Bihar):  A = 81-100%  |  B = 61-80%  |  C = 41-60%  |  D = 33-40%  |  E = 0-32% (Fail/विशेष आवश्यकता)</t>
  </si>
  <si>
    <t>विद्यार्थी विवरण</t>
  </si>
  <si>
    <t>अर्धवार्षिक मूल्यांकन — सितम्बर (विषयवार पूर्णांक: 50)</t>
  </si>
  <si>
    <t>वार्षिक मूल्यांकन — मार्च (विषयवार पूर्णांक: 50)</t>
  </si>
  <si>
    <t>वार्षिक परिणाम (पूर्णांक: 100)</t>
  </si>
  <si>
    <t>Class</t>
  </si>
  <si>
    <t>DOB</t>
  </si>
  <si>
    <t>Roll No.</t>
  </si>
  <si>
    <t>Hindi
(FM)</t>
  </si>
  <si>
    <t>Hindi
(Obt)</t>
  </si>
  <si>
    <t>Math
(FM)</t>
  </si>
  <si>
    <t>Math
(Obt)</t>
  </si>
  <si>
    <t>Eng
(FM)</t>
  </si>
  <si>
    <t>Eng
(Obt)</t>
  </si>
  <si>
    <t>EVS/Sci
(FM)</t>
  </si>
  <si>
    <t>EVS/Sci
(Obt)</t>
  </si>
  <si>
    <t>Sanskrit
(FM)</t>
  </si>
  <si>
    <t>Sanskrit
(Obt)</t>
  </si>
  <si>
    <t>Total
FM</t>
  </si>
  <si>
    <t>Total
Obt</t>
  </si>
  <si>
    <t>Full
Marks</t>
  </si>
  <si>
    <t>Total
Obt.</t>
  </si>
  <si>
    <t>Percentage</t>
  </si>
  <si>
    <t>Grade</t>
  </si>
  <si>
    <t>Result</t>
  </si>
  <si>
    <t>▶  Class 1  —  7 Students</t>
  </si>
  <si>
    <t>Class 1</t>
  </si>
  <si>
    <t>Kajali Kumari</t>
  </si>
  <si>
    <t>Devendra Tiwari</t>
  </si>
  <si>
    <t>26-Nov-2018</t>
  </si>
  <si>
    <t>Anushka Kumari</t>
  </si>
  <si>
    <t>Shambhu Tanti</t>
  </si>
  <si>
    <t>03-Aug-2018</t>
  </si>
  <si>
    <t>Kanhaiya Modi</t>
  </si>
  <si>
    <t>05-Feb-2018</t>
  </si>
  <si>
    <t>Chandani Kumari</t>
  </si>
  <si>
    <t>Niraj Singh</t>
  </si>
  <si>
    <t>07-Dec-2019</t>
  </si>
  <si>
    <t>Sunny Kumar</t>
  </si>
  <si>
    <t>Pintu Kumar</t>
  </si>
  <si>
    <t>01-Jan-2019</t>
  </si>
  <si>
    <t>Tanmay Kumar</t>
  </si>
  <si>
    <t>Sanjeev Kumar Tiwari</t>
  </si>
  <si>
    <t>05-Jan-2019</t>
  </si>
  <si>
    <t>Satyam Kumar</t>
  </si>
  <si>
    <t>03-Jun-2020</t>
  </si>
  <si>
    <t>▶  Class 2  —  6 Students</t>
  </si>
  <si>
    <t>Class 2</t>
  </si>
  <si>
    <t>Shivam Kumar</t>
  </si>
  <si>
    <t>Manohar Tanti</t>
  </si>
  <si>
    <t>04-Mar-2017</t>
  </si>
  <si>
    <t>Anmol Kumar</t>
  </si>
  <si>
    <t>Onkar Kumar Das</t>
  </si>
  <si>
    <t>12-Nov-2017</t>
  </si>
  <si>
    <t>Raj Pritam Kumar</t>
  </si>
  <si>
    <t>Babalu Tanti</t>
  </si>
  <si>
    <t>11-Aug-2018</t>
  </si>
  <si>
    <t>Suraj Kumar Singh</t>
  </si>
  <si>
    <t>25-Jun-2017</t>
  </si>
  <si>
    <t>Stuti Sikandar</t>
  </si>
  <si>
    <t>Sikandar Kumar Das</t>
  </si>
  <si>
    <t>25-Feb-2017</t>
  </si>
  <si>
    <t>Harsh Kumar</t>
  </si>
  <si>
    <t>Chandan Das</t>
  </si>
  <si>
    <t>04-Dec-2017</t>
  </si>
  <si>
    <t>▶  Class 3  —  5 Students</t>
  </si>
  <si>
    <t>Class 3</t>
  </si>
  <si>
    <t>Prasant Kumar Tiwari</t>
  </si>
  <si>
    <t>Rakesh Tiwari</t>
  </si>
  <si>
    <t>14-Oct-2016</t>
  </si>
  <si>
    <t>Piyush Kumar</t>
  </si>
  <si>
    <t>Parmeshwar Kumar</t>
  </si>
  <si>
    <t>10-Jan-2016</t>
  </si>
  <si>
    <t>Supriya Bharti</t>
  </si>
  <si>
    <t>Krishna Kumar Das</t>
  </si>
  <si>
    <t>02-Feb-2017</t>
  </si>
  <si>
    <t>Akash Raj</t>
  </si>
  <si>
    <t>Sudhir Kumar Das</t>
  </si>
  <si>
    <t>13-Jun-2017</t>
  </si>
  <si>
    <t>Kiran Kumari</t>
  </si>
  <si>
    <t>20-Jun-2016</t>
  </si>
  <si>
    <t>▶  Class 4  —  10 Students</t>
  </si>
  <si>
    <t>Class 4</t>
  </si>
  <si>
    <t>Shambhavi Kumari</t>
  </si>
  <si>
    <t>Arvind Kumar Singh</t>
  </si>
  <si>
    <t>22-Jun-2019</t>
  </si>
  <si>
    <t>Riddhi Kumari</t>
  </si>
  <si>
    <t>Vikash Kumar Singh</t>
  </si>
  <si>
    <t>28-Sep-2016</t>
  </si>
  <si>
    <t>Siddhi Kumari</t>
  </si>
  <si>
    <t>Ranvir Kumar</t>
  </si>
  <si>
    <t>Chandan Modi</t>
  </si>
  <si>
    <t>02-May-2016</t>
  </si>
  <si>
    <t>ABSENT</t>
  </si>
  <si>
    <t>Priti Kumari</t>
  </si>
  <si>
    <t>Kapildev Das</t>
  </si>
  <si>
    <t>13-Jun-2015</t>
  </si>
  <si>
    <t>Priyanshu Kumar</t>
  </si>
  <si>
    <t>Amit Tiwari</t>
  </si>
  <si>
    <t>02-Oct-2016</t>
  </si>
  <si>
    <t>Sumit Kumar</t>
  </si>
  <si>
    <t>Chuhan Tanti</t>
  </si>
  <si>
    <t>15-Oct-2016</t>
  </si>
  <si>
    <t>Ankit Kumar</t>
  </si>
  <si>
    <t>Krishna Tanti</t>
  </si>
  <si>
    <t>01-Jan-2016</t>
  </si>
  <si>
    <t>Anshika Kumari</t>
  </si>
  <si>
    <t>Avadhesh Dubey</t>
  </si>
  <si>
    <t>11-Oct-2015</t>
  </si>
  <si>
    <t>Chintu Kumar</t>
  </si>
  <si>
    <t>Babu Lal Ravidas</t>
  </si>
  <si>
    <t>14-Jan-2012</t>
  </si>
  <si>
    <t>▶  Class 5  —  8 Students</t>
  </si>
  <si>
    <t>Class 5</t>
  </si>
  <si>
    <t>Amardeep Kumar</t>
  </si>
  <si>
    <t>15-Sep-2015</t>
  </si>
  <si>
    <t>Devraj Kumar Tiwari</t>
  </si>
  <si>
    <t>Rajeev Kumar Tiwari</t>
  </si>
  <si>
    <t>10-Jul-2015</t>
  </si>
  <si>
    <t>Anshu Kumar</t>
  </si>
  <si>
    <t>Manoj Ravidas</t>
  </si>
  <si>
    <t>27-Jun-2014</t>
  </si>
  <si>
    <t>Sabita Kumari</t>
  </si>
  <si>
    <t>28-Mar-2015</t>
  </si>
  <si>
    <t>Sonu Kumar Tiwari</t>
  </si>
  <si>
    <t>Anjani Tiwari</t>
  </si>
  <si>
    <t>20-Jun-2015</t>
  </si>
  <si>
    <t>12-Apr-2015</t>
  </si>
  <si>
    <t>Amit Kumar</t>
  </si>
  <si>
    <t>10-Aug-2015</t>
  </si>
  <si>
    <t>Sapna Kumari</t>
  </si>
  <si>
    <t>12-Sep-2015</t>
  </si>
  <si>
    <t>▶  Class 6  —  17 Students</t>
  </si>
  <si>
    <t>Class 6</t>
  </si>
  <si>
    <t>Ayushi Kumari</t>
  </si>
  <si>
    <t>Prakash Kumar Singh</t>
  </si>
  <si>
    <t>26-Apr-2014</t>
  </si>
  <si>
    <t>Santanu Kumar Tiwari</t>
  </si>
  <si>
    <t>20-Jun-2013</t>
  </si>
  <si>
    <t>Balram Kumar Tiwari</t>
  </si>
  <si>
    <t>21-Jun-2013</t>
  </si>
  <si>
    <t>Jyoti Kumari</t>
  </si>
  <si>
    <t>28-Aug-2013</t>
  </si>
  <si>
    <t>Parmeshwar Das</t>
  </si>
  <si>
    <t>13-Oct-2013</t>
  </si>
  <si>
    <t>Gopi Kumar</t>
  </si>
  <si>
    <t>Bacchu Tanti</t>
  </si>
  <si>
    <t>20-Aug-2013</t>
  </si>
  <si>
    <t>Savitri Kumari</t>
  </si>
  <si>
    <t>Sambhu Tanti</t>
  </si>
  <si>
    <t>25-Aug-2013</t>
  </si>
  <si>
    <t>Dharamraj Kumar</t>
  </si>
  <si>
    <t>Banavari Manjhi</t>
  </si>
  <si>
    <t>09-Feb-2013</t>
  </si>
  <si>
    <t>Rishi Raj</t>
  </si>
  <si>
    <t>Priy Ranjan Singh</t>
  </si>
  <si>
    <t>27-Jul-2014</t>
  </si>
  <si>
    <t>Abhinash Kumar</t>
  </si>
  <si>
    <t>Ajit Rawat</t>
  </si>
  <si>
    <t>02-Aug-2014</t>
  </si>
  <si>
    <t>Raj Kumar</t>
  </si>
  <si>
    <t>Jitendra Rawat</t>
  </si>
  <si>
    <t>05-Jun-2013</t>
  </si>
  <si>
    <t>Kanhaiya Kumar</t>
  </si>
  <si>
    <t>Ramkhailawan Tanti</t>
  </si>
  <si>
    <t>18-Aug-2014</t>
  </si>
  <si>
    <t>Rani Kumari</t>
  </si>
  <si>
    <t>Ramchandra Rawat</t>
  </si>
  <si>
    <t>20-Jun-2014</t>
  </si>
  <si>
    <t>Krishama Kumari</t>
  </si>
  <si>
    <t>Mannu Rawat</t>
  </si>
  <si>
    <t>01-Sep-2013</t>
  </si>
  <si>
    <t>Shilpa Kumari</t>
  </si>
  <si>
    <t>Papapu Tanti</t>
  </si>
  <si>
    <t>28-Nov-2013</t>
  </si>
  <si>
    <t>Rubal Raj Singh</t>
  </si>
  <si>
    <t>Ranjay Kumar</t>
  </si>
  <si>
    <t>14-Sep-2013</t>
  </si>
  <si>
    <t>Saniya Mirja</t>
  </si>
  <si>
    <t>Surendra Tanti</t>
  </si>
  <si>
    <t>05-Dec-2014</t>
  </si>
  <si>
    <t>▶  Class 7  —  15 Students</t>
  </si>
  <si>
    <t>Class 7</t>
  </si>
  <si>
    <t>Mosam Kumari</t>
  </si>
  <si>
    <t>Mukesh Das</t>
  </si>
  <si>
    <t>30-Oct-2010</t>
  </si>
  <si>
    <t>Gautam Rawat</t>
  </si>
  <si>
    <t>20-Apr-2013</t>
  </si>
  <si>
    <t>Naresh Dubey</t>
  </si>
  <si>
    <t>15-Jun-2013</t>
  </si>
  <si>
    <t>Aakarshak Kumar</t>
  </si>
  <si>
    <t>Sudhir Kumar Singh</t>
  </si>
  <si>
    <t>01-Jan-2012</t>
  </si>
  <si>
    <t>Sonam Kumari</t>
  </si>
  <si>
    <t>Sunil Rawat</t>
  </si>
  <si>
    <t>02-Feb-2013</t>
  </si>
  <si>
    <t>Karan Kumar</t>
  </si>
  <si>
    <t>Krishna Kumar Ravidas</t>
  </si>
  <si>
    <t>06-Sep-2013</t>
  </si>
  <si>
    <t>Rohit Kumar</t>
  </si>
  <si>
    <t>23-Nov-2013</t>
  </si>
  <si>
    <t>Ritika Kumari</t>
  </si>
  <si>
    <t>Bajrangi Rawat</t>
  </si>
  <si>
    <t>31-Dec-2012</t>
  </si>
  <si>
    <t>Pari Kumari</t>
  </si>
  <si>
    <t>15-Nov-2013</t>
  </si>
  <si>
    <t>Chunnu Kumar</t>
  </si>
  <si>
    <t>Prince Kumar Tiwari</t>
  </si>
  <si>
    <t>Tinku Tiwari</t>
  </si>
  <si>
    <t>10-Aug-2013</t>
  </si>
  <si>
    <t>Gaurav Kumar</t>
  </si>
  <si>
    <t>Pankaj Rawat</t>
  </si>
  <si>
    <t>28-Dec-2012</t>
  </si>
  <si>
    <t>Mohit Kumar</t>
  </si>
  <si>
    <t>Dharmendra Rawat</t>
  </si>
  <si>
    <t>19-Oct-2014</t>
  </si>
  <si>
    <t>Mousam Kumari</t>
  </si>
  <si>
    <t>Vijay Rawat</t>
  </si>
  <si>
    <t>14-Mar-2013</t>
  </si>
  <si>
    <t>Suraj Kumar</t>
  </si>
  <si>
    <t>Ravindar Kumar Tiwari</t>
  </si>
  <si>
    <t>05-May-2013</t>
  </si>
  <si>
    <t>▶  Class 8  —  15 Students</t>
  </si>
  <si>
    <t>Class 8</t>
  </si>
  <si>
    <t>Aarohi Singh</t>
  </si>
  <si>
    <t>Nandan Kumar Singh</t>
  </si>
  <si>
    <t>08-Feb-2012</t>
  </si>
  <si>
    <t>Manasi Kumari</t>
  </si>
  <si>
    <t>Praveen Kumar Singh</t>
  </si>
  <si>
    <t>01-Jan-2011</t>
  </si>
  <si>
    <t>Ritu Kumari</t>
  </si>
  <si>
    <t>16-Jun-2011</t>
  </si>
  <si>
    <t>Etawari Tanti</t>
  </si>
  <si>
    <t>03-Jan-2013</t>
  </si>
  <si>
    <t>Varsha Kumari</t>
  </si>
  <si>
    <t>06-Jan-2012</t>
  </si>
  <si>
    <t>Adity Gaurav</t>
  </si>
  <si>
    <t>Manish Tiwari</t>
  </si>
  <si>
    <t>31-Jul-2013</t>
  </si>
  <si>
    <t>Abhishek Kumar</t>
  </si>
  <si>
    <t>Ramchandar Rawat</t>
  </si>
  <si>
    <t>10-Aug-2012</t>
  </si>
  <si>
    <t>Shivani Kumari</t>
  </si>
  <si>
    <t>Ramchandra Tanti</t>
  </si>
  <si>
    <t>Subham Raj</t>
  </si>
  <si>
    <t>Dilip Ravidas</t>
  </si>
  <si>
    <t>30-Sep-2012</t>
  </si>
  <si>
    <t>13-Aug-2011</t>
  </si>
  <si>
    <t>Mukesh Rawat</t>
  </si>
  <si>
    <t>04-Aug-2012</t>
  </si>
  <si>
    <t>Laxami Kumari</t>
  </si>
  <si>
    <t>Manu Rawat</t>
  </si>
  <si>
    <t>27-Oct-2011</t>
  </si>
  <si>
    <t>Ritesh Kumar</t>
  </si>
  <si>
    <t>05-Apr-2013</t>
  </si>
  <si>
    <t>Abhijit Kumar</t>
  </si>
  <si>
    <t>Manohar Das</t>
  </si>
  <si>
    <t>15-May-2013</t>
  </si>
  <si>
    <t>SST
(FM)</t>
  </si>
  <si>
    <t>SST
(Obt)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</si>
  <si>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</si>
  <si>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Rishu Kumar</t>
  </si>
  <si>
    <t>Anil Kumar Arya</t>
  </si>
  <si>
    <t>01-Jan-2017</t>
  </si>
  <si>
    <t>Student's Name</t>
  </si>
  <si>
    <t>Father's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</si>
</sst>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b/>
      <sz val="8"/>
      <color rgb="FF000000"/>
      <name val="Calibri"/>
      <family val="2"/>
    </font>
    <font>
      <sz val="8"/>
      <color rgb="FF000000"/>
      <name val="Calibri"/>
      <family val="2"/>
    </font>
    <font>
      <b/>
      <sz val="11"/>
      <color rgb="FFFFFFFF"/>
      <name val="Nirmala UI"/>
      <family val="2"/>
    </font>
    <font>
      <b/>
      <sz val="12"/>
      <color rgb="FFFFFFFF"/>
      <name val="Nirmala UI"/>
      <family val="2"/>
    </font>
    <font>
      <sz val="8"/>
      <name val="Calibri"/>
      <family val="2"/>
      <scheme val="minor"/>
    </font>
    <font>
      <b/>
      <sz val="9"/>
      <color rgb="FFFFFFFF"/>
      <name val="Arial"/>
      <family val="2"/>
    </font>
    <font>
      <b/>
      <sz val="9"/>
      <color rgb="FFFFFFFF"/>
      <name val="Palanquin Dark"/>
      <family val="2"/>
    </font>
    <font>
      <sz val="11"/>
      <color theme="1"/>
      <name val="Palanquin Dark"/>
      <family val="2"/>
    </font>
    <font>
      <sz val="11"/>
      <color theme="1"/>
      <name val="Arial Black"/>
      <family val="2"/>
    </font>
    <font>
      <b/>
      <sz val="8"/>
      <color rgb="FFFFFFFF"/>
      <name val="Arial Black"/>
      <family val="2"/>
    </font>
    <font>
      <b/>
      <sz val="9"/>
      <color rgb="FF333333"/>
      <name val="Arial"/>
      <family val="2"/>
    </font>
    <font>
      <b/>
      <sz val="9"/>
      <color rgb="FFFFFFFF"/>
      <name val="Calibri"/>
      <family val="2"/>
    </font>
    <font>
      <sz val="8"/>
      <color rgb="FFFFFFFF"/>
      <name val="Calibri"/>
      <family val="2"/>
    </font>
    <font>
      <b/>
      <sz val="8"/>
      <color rgb="FFFFFFFF"/>
      <name val="Calibri"/>
      <family val="2"/>
    </font>
    <font>
      <sz val="11"/>
      <color rgb="FF000000"/>
      <name val="Arial"/>
      <family val="2"/>
    </font>
    <font>
      <b/>
      <sz val="9"/>
      <color rgb="FFCC0000"/>
      <name val="Calibri"/>
      <family val="2"/>
    </font>
    <font>
      <b/>
      <sz val="9"/>
      <color rgb="FFFFFFFF"/>
      <name val="Arial Black"/>
      <family val="2"/>
    </font>
    <font>
      <b/>
      <sz val="11"/>
      <color rgb="FF000000"/>
      <name val="Arial Black"/>
      <family val="2"/>
    </font>
    <font>
      <b/>
      <sz val="8"/>
      <color rgb="FF000000"/>
      <name val="Arial Black"/>
      <family val="2"/>
    </font>
    <font>
      <b/>
      <sz val="11"/>
      <color theme="1"/>
      <name val="Arial Black"/>
      <family val="2"/>
    </font>
  </fonts>
  <fills count="24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FFE0E0"/>
        <bgColor rgb="FFFFE0E0"/>
      </patternFill>
    </fill>
    <fill>
      <patternFill patternType="solid">
        <fgColor rgb="FF1A237E"/>
        <bgColor rgb="FF000080"/>
      </patternFill>
    </fill>
    <fill>
      <patternFill patternType="solid">
        <fgColor rgb="FFFFF9C4"/>
        <bgColor rgb="FFF5F5F5"/>
      </patternFill>
    </fill>
    <fill>
      <patternFill patternType="solid">
        <fgColor rgb="FF1B5E20"/>
        <bgColor rgb="FF2E7D32"/>
      </patternFill>
    </fill>
    <fill>
      <patternFill patternType="solid">
        <fgColor rgb="FFEAF4FB"/>
        <bgColor rgb="FFEAF4FB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666666"/>
        <bgColor rgb="FF666666"/>
      </patternFill>
    </fill>
    <fill>
      <patternFill patternType="solid">
        <fgColor rgb="FF38761D"/>
        <bgColor rgb="FF38761D"/>
      </patternFill>
    </fill>
    <fill>
      <patternFill patternType="solid">
        <fgColor rgb="FFFCE5CD"/>
        <bgColor rgb="FFFCE5CD"/>
      </patternFill>
    </fill>
    <fill>
      <patternFill patternType="solid">
        <fgColor rgb="FFF9CB9C"/>
        <bgColor rgb="FFF9CB9C"/>
      </patternFill>
    </fill>
    <fill>
      <patternFill patternType="solid">
        <fgColor rgb="FFBF6914"/>
        <bgColor rgb="FFBF6914"/>
      </patternFill>
    </fill>
    <fill>
      <patternFill patternType="solid">
        <fgColor rgb="FF351C75"/>
        <bgColor rgb="FF351C75"/>
      </patternFill>
    </fill>
    <fill>
      <patternFill patternType="solid">
        <fgColor rgb="FFD9D2E9"/>
        <bgColor rgb="FFD9D2E9"/>
      </patternFill>
    </fill>
    <fill>
      <patternFill patternType="solid">
        <fgColor rgb="FFD0E8F5"/>
        <bgColor rgb="FFD0E8F5"/>
      </patternFill>
    </fill>
    <fill>
      <patternFill patternType="solid">
        <fgColor rgb="FF274E13"/>
        <bgColor rgb="FF274E13"/>
      </patternFill>
    </fill>
    <fill>
      <patternFill patternType="solid">
        <fgColor rgb="FF7F3F00"/>
        <bgColor rgb="FF7F3F00"/>
      </patternFill>
    </fill>
    <fill>
      <patternFill patternType="solid">
        <fgColor rgb="FF20124D"/>
        <bgColor rgb="FF20124D"/>
      </patternFill>
    </fill>
    <fill>
      <patternFill patternType="solid">
        <fgColor rgb="FF274E13"/>
        <bgColor rgb="FF000080"/>
      </patternFill>
    </fill>
    <fill>
      <patternFill patternType="solid">
        <fgColor rgb="FF7F3F00"/>
        <bgColor rgb="FF000080"/>
      </patternFill>
    </fill>
  </fills>
  <borders count="6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8" fillId="0" borderId="0" xfId="0" applyFont="1"/>
    <xf numFmtId="0" fontId="9" fillId="0" borderId="0" xfId="0" applyFont="1"/>
    <xf numFmtId="0" fontId="10" fillId="5" borderId="1" xfId="0" applyFont="1" applyFill="1" applyBorder="1" applyAlignment="1">
      <alignment horizontal="center" vertical="center" wrapText="1"/>
    </xf>
    <xf numFmtId="0" fontId="6" fillId="7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2" fillId="2" borderId="2" xfId="0" applyFont="1" applyFill="1" applyBorder="1" applyAlignment="1">
      <alignment horizontal="left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left" vertical="center"/>
    </xf>
    <xf numFmtId="0" fontId="2" fillId="9" borderId="2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3" fillId="11" borderId="2" xfId="0" applyFont="1" applyFill="1" applyBorder="1" applyAlignment="1">
      <alignment horizontal="center" vertical="center"/>
    </xf>
    <xf numFmtId="0" fontId="14" fillId="12" borderId="2" xfId="0" applyFont="1" applyFill="1" applyBorder="1" applyAlignment="1">
      <alignment horizontal="center" vertical="center"/>
    </xf>
    <xf numFmtId="0" fontId="2" fillId="13" borderId="2" xfId="0" applyFont="1" applyFill="1" applyBorder="1" applyAlignment="1">
      <alignment horizontal="center" vertical="center"/>
    </xf>
    <xf numFmtId="0" fontId="1" fillId="14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14" fillId="16" borderId="2" xfId="0" applyFont="1" applyFill="1" applyBorder="1" applyAlignment="1">
      <alignment horizontal="center" vertical="center"/>
    </xf>
    <xf numFmtId="2" fontId="2" fillId="17" borderId="2" xfId="0" applyNumberFormat="1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left" vertical="center"/>
    </xf>
    <xf numFmtId="0" fontId="15" fillId="0" borderId="0" xfId="0" applyFont="1"/>
    <xf numFmtId="0" fontId="2" fillId="4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7" fillId="19" borderId="3" xfId="0" applyFont="1" applyFill="1" applyBorder="1" applyAlignment="1">
      <alignment horizontal="center" vertical="center" wrapText="1"/>
    </xf>
    <xf numFmtId="0" fontId="7" fillId="19" borderId="4" xfId="0" applyFont="1" applyFill="1" applyBorder="1" applyAlignment="1">
      <alignment horizontal="center" vertical="center" wrapText="1"/>
    </xf>
    <xf numFmtId="0" fontId="7" fillId="19" borderId="5" xfId="0" applyFont="1" applyFill="1" applyBorder="1" applyAlignment="1">
      <alignment horizontal="center" vertical="center" wrapText="1"/>
    </xf>
    <xf numFmtId="0" fontId="7" fillId="20" borderId="3" xfId="0" applyFont="1" applyFill="1" applyBorder="1" applyAlignment="1">
      <alignment horizontal="center" vertical="center" wrapText="1"/>
    </xf>
    <xf numFmtId="0" fontId="7" fillId="20" borderId="4" xfId="0" applyFont="1" applyFill="1" applyBorder="1" applyAlignment="1">
      <alignment horizontal="center" vertical="center" wrapText="1"/>
    </xf>
    <xf numFmtId="0" fontId="7" fillId="20" borderId="5" xfId="0" applyFont="1" applyFill="1" applyBorder="1" applyAlignment="1">
      <alignment horizontal="center" vertical="center" wrapText="1"/>
    </xf>
    <xf numFmtId="0" fontId="7" fillId="21" borderId="3" xfId="0" applyFont="1" applyFill="1" applyBorder="1" applyAlignment="1">
      <alignment horizontal="center" vertical="center" wrapText="1"/>
    </xf>
    <xf numFmtId="0" fontId="7" fillId="21" borderId="4" xfId="0" applyFont="1" applyFill="1" applyBorder="1" applyAlignment="1">
      <alignment horizontal="center" vertical="center" wrapText="1"/>
    </xf>
    <xf numFmtId="0" fontId="7" fillId="21" borderId="5" xfId="0" applyFont="1" applyFill="1" applyBorder="1" applyAlignment="1">
      <alignment horizontal="center" vertical="center" wrapText="1"/>
    </xf>
    <xf numFmtId="0" fontId="16" fillId="4" borderId="3" xfId="0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0" fillId="22" borderId="1" xfId="0" applyFont="1" applyFill="1" applyBorder="1" applyAlignment="1">
      <alignment horizontal="center" vertical="center" wrapText="1"/>
    </xf>
    <xf numFmtId="0" fontId="10" fillId="23" borderId="1" xfId="0" applyFont="1" applyFill="1" applyBorder="1" applyAlignment="1">
      <alignment horizontal="center" vertical="center" wrapText="1"/>
    </xf>
    <xf numFmtId="0" fontId="17" fillId="2" borderId="2" xfId="0" applyFont="1" applyFill="1" applyBorder="1" applyAlignment="1">
      <alignment horizontal="left" vertical="center"/>
    </xf>
    <xf numFmtId="0" fontId="10" fillId="12" borderId="2" xfId="0" applyFont="1" applyFill="1" applyBorder="1" applyAlignment="1">
      <alignment horizontal="center" vertical="center"/>
    </xf>
    <xf numFmtId="0" fontId="18" fillId="0" borderId="0" xfId="0" applyFont="1"/>
    <xf numFmtId="0" fontId="19" fillId="4" borderId="2" xfId="0" applyFont="1" applyFill="1" applyBorder="1" applyAlignment="1">
      <alignment horizontal="center" vertical="center"/>
    </xf>
    <xf numFmtId="0" fontId="20" fillId="0" borderId="0" xfId="0" applyFont="1"/>
    <xf numFmtId="0" fontId="10" fillId="15" borderId="2" xfId="0" applyFont="1" applyFill="1" applyBorder="1" applyAlignment="1">
      <alignment horizontal="center" vertic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colors>
    <mruColors>
      <color rgb="FF7F3F00"/>
      <color rgb="FF274E13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05"/>
  <sheetViews>
    <sheetView tabSelected="1" workbookViewId="0">
      <pane xSplit="5" ySplit="6" topLeftCell="F31" activePane="bottomRight" state="frozen"/>
      <selection pane="topRight"/>
      <selection pane="bottomLeft"/>
      <selection pane="bottomRight" activeCell="AD12" sqref="AD12"/>
    </sheetView>
  </sheetViews>
  <sheetFormatPr defaultRowHeight="17.399999999999999" x14ac:dyDescent="0.45"/>
  <cols>
    <col min="1" max="1" width="8" customWidth="1"/>
    <col min="2" max="3" width="22" customWidth="1"/>
    <col min="4" max="4" width="12" customWidth="1"/>
    <col min="5" max="5" width="6" customWidth="1"/>
    <col min="6" max="17" width="5" customWidth="1"/>
    <col min="18" max="18" width="6" customWidth="1"/>
    <col min="19" max="19" width="6" style="46" customWidth="1"/>
    <col min="20" max="31" width="5" customWidth="1"/>
    <col min="32" max="32" width="6" customWidth="1"/>
    <col min="33" max="33" width="6" style="46" customWidth="1"/>
    <col min="34" max="35" width="6" customWidth="1"/>
    <col min="36" max="36" width="8" customWidth="1"/>
    <col min="37" max="37" width="6" customWidth="1"/>
    <col min="38" max="38" width="7" customWidth="1"/>
  </cols>
  <sheetData>
    <row r="1" spans="1:38" ht="36" customHeight="1" x14ac:dyDescent="0.3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</row>
    <row r="2" spans="1:38" ht="22.05" customHeight="1" x14ac:dyDescent="0.3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</row>
    <row r="3" spans="1:38" ht="22.05" customHeight="1" x14ac:dyDescent="0.3">
      <c r="A3" s="6" t="s">
        <v>2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</row>
    <row r="4" spans="1:38" ht="16.05" customHeight="1" x14ac:dyDescent="0.3">
      <c r="A4" s="4" t="s">
        <v>3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</row>
    <row r="5" spans="1:38" s="1" customFormat="1" ht="28.05" customHeight="1" x14ac:dyDescent="0.8">
      <c r="A5" s="25" t="s">
        <v>4</v>
      </c>
      <c r="B5" s="26"/>
      <c r="C5" s="26"/>
      <c r="D5" s="26"/>
      <c r="E5" s="27"/>
      <c r="F5" s="28" t="s">
        <v>5</v>
      </c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30"/>
      <c r="T5" s="31" t="s">
        <v>6</v>
      </c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3"/>
      <c r="AH5" s="34" t="s">
        <v>7</v>
      </c>
      <c r="AI5" s="35"/>
      <c r="AJ5" s="35"/>
      <c r="AK5" s="35"/>
      <c r="AL5" s="36"/>
    </row>
    <row r="6" spans="1:38" s="2" customFormat="1" ht="36" customHeight="1" x14ac:dyDescent="0.45">
      <c r="A6" s="3" t="s">
        <v>8</v>
      </c>
      <c r="B6" s="3" t="s">
        <v>267</v>
      </c>
      <c r="C6" s="3" t="s">
        <v>268</v>
      </c>
      <c r="D6" s="3" t="s">
        <v>9</v>
      </c>
      <c r="E6" s="3" t="s">
        <v>10</v>
      </c>
      <c r="F6" s="40" t="s">
        <v>11</v>
      </c>
      <c r="G6" s="40" t="s">
        <v>12</v>
      </c>
      <c r="H6" s="40" t="s">
        <v>13</v>
      </c>
      <c r="I6" s="40" t="s">
        <v>14</v>
      </c>
      <c r="J6" s="40" t="s">
        <v>15</v>
      </c>
      <c r="K6" s="40" t="s">
        <v>16</v>
      </c>
      <c r="L6" s="40" t="s">
        <v>17</v>
      </c>
      <c r="M6" s="40" t="s">
        <v>18</v>
      </c>
      <c r="N6" s="40" t="s">
        <v>261</v>
      </c>
      <c r="O6" s="40" t="s">
        <v>262</v>
      </c>
      <c r="P6" s="40" t="s">
        <v>19</v>
      </c>
      <c r="Q6" s="40" t="s">
        <v>20</v>
      </c>
      <c r="R6" s="40" t="s">
        <v>21</v>
      </c>
      <c r="S6" s="40" t="s">
        <v>22</v>
      </c>
      <c r="T6" s="41" t="s">
        <v>11</v>
      </c>
      <c r="U6" s="41" t="s">
        <v>12</v>
      </c>
      <c r="V6" s="41" t="s">
        <v>13</v>
      </c>
      <c r="W6" s="41" t="s">
        <v>14</v>
      </c>
      <c r="X6" s="41" t="s">
        <v>15</v>
      </c>
      <c r="Y6" s="41" t="s">
        <v>16</v>
      </c>
      <c r="Z6" s="41" t="s">
        <v>17</v>
      </c>
      <c r="AA6" s="41" t="s">
        <v>18</v>
      </c>
      <c r="AB6" s="41" t="s">
        <v>261</v>
      </c>
      <c r="AC6" s="41" t="s">
        <v>262</v>
      </c>
      <c r="AD6" s="41" t="s">
        <v>19</v>
      </c>
      <c r="AE6" s="41" t="s">
        <v>20</v>
      </c>
      <c r="AF6" s="41" t="s">
        <v>21</v>
      </c>
      <c r="AG6" s="41" t="s">
        <v>22</v>
      </c>
      <c r="AH6" s="3" t="s">
        <v>23</v>
      </c>
      <c r="AI6" s="3" t="s">
        <v>24</v>
      </c>
      <c r="AJ6" s="3" t="s">
        <v>25</v>
      </c>
      <c r="AK6" s="3" t="s">
        <v>26</v>
      </c>
      <c r="AL6" s="3" t="s">
        <v>27</v>
      </c>
    </row>
    <row r="7" spans="1:38" ht="15" customHeight="1" x14ac:dyDescent="0.3">
      <c r="A7" s="8" t="s">
        <v>28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42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42"/>
      <c r="AH7" s="8"/>
      <c r="AI7" s="8"/>
      <c r="AJ7" s="8"/>
      <c r="AK7" s="8"/>
      <c r="AL7" s="8"/>
    </row>
    <row r="8" spans="1:38" ht="15" customHeight="1" x14ac:dyDescent="0.3">
      <c r="A8" s="9" t="s">
        <v>29</v>
      </c>
      <c r="B8" s="10" t="s">
        <v>30</v>
      </c>
      <c r="C8" s="10" t="s">
        <v>31</v>
      </c>
      <c r="D8" s="9" t="s">
        <v>32</v>
      </c>
      <c r="E8" s="9">
        <v>1</v>
      </c>
      <c r="F8" s="11">
        <v>50</v>
      </c>
      <c r="G8" s="12">
        <v>36</v>
      </c>
      <c r="H8" s="11">
        <v>50</v>
      </c>
      <c r="I8" s="12">
        <v>37</v>
      </c>
      <c r="J8" s="11">
        <v>50</v>
      </c>
      <c r="K8" s="12">
        <v>30</v>
      </c>
      <c r="L8" s="13"/>
      <c r="M8" s="13"/>
      <c r="N8" s="13"/>
      <c r="O8" s="13"/>
      <c r="P8" s="13"/>
      <c r="Q8" s="13"/>
      <c r="R8" s="14">
        <v>150</v>
      </c>
      <c r="S8" s="43">
        <f t="shared" ref="S8:S14" si="0">G8+I8+K8</f>
        <v>103</v>
      </c>
      <c r="T8" s="15">
        <v>50</v>
      </c>
      <c r="U8" s="16">
        <v>35</v>
      </c>
      <c r="V8" s="15">
        <v>50</v>
      </c>
      <c r="W8" s="16">
        <v>35</v>
      </c>
      <c r="X8" s="15">
        <v>50</v>
      </c>
      <c r="Y8" s="16">
        <v>32</v>
      </c>
      <c r="Z8" s="13"/>
      <c r="AA8" s="13"/>
      <c r="AB8" s="13"/>
      <c r="AC8" s="13"/>
      <c r="AD8" s="13"/>
      <c r="AE8" s="13"/>
      <c r="AF8" s="17">
        <v>150</v>
      </c>
      <c r="AG8" s="47">
        <f t="shared" ref="AG8:AG14" si="1">U8+W8+Y8</f>
        <v>102</v>
      </c>
      <c r="AH8" s="18">
        <v>300</v>
      </c>
      <c r="AI8" s="18">
        <f>S8+AG8</f>
        <v>205</v>
      </c>
      <c r="AJ8" s="19">
        <f>IF(AH8&gt;0,AI8/AH8*100,0)</f>
        <v>68.333333333333329</v>
      </c>
      <c r="AK8" s="20" t="str">
        <f t="shared" ref="AK8:AK14" si="2">IF(AJ8&gt;=81,"A",IF(AJ8&gt;=61,"B",IF(AJ8&gt;=41,"C",IF(AJ8&gt;=33,"D","E"))))</f>
        <v>B</v>
      </c>
      <c r="AL8" s="20" t="str">
        <f t="shared" ref="AL8:AL14" si="3">IF(AK8="E","Fail","Pass")</f>
        <v>Pass</v>
      </c>
    </row>
    <row r="9" spans="1:38" ht="15" customHeight="1" x14ac:dyDescent="0.3">
      <c r="A9" s="21" t="s">
        <v>29</v>
      </c>
      <c r="B9" s="22" t="s">
        <v>33</v>
      </c>
      <c r="C9" s="22" t="s">
        <v>34</v>
      </c>
      <c r="D9" s="21" t="s">
        <v>35</v>
      </c>
      <c r="E9" s="21">
        <v>2</v>
      </c>
      <c r="F9" s="11">
        <v>50</v>
      </c>
      <c r="G9" s="12">
        <v>43</v>
      </c>
      <c r="H9" s="11">
        <v>50</v>
      </c>
      <c r="I9" s="12">
        <v>43</v>
      </c>
      <c r="J9" s="11">
        <v>50</v>
      </c>
      <c r="K9" s="12">
        <v>39</v>
      </c>
      <c r="L9" s="13"/>
      <c r="M9" s="13"/>
      <c r="N9" s="13"/>
      <c r="O9" s="13"/>
      <c r="P9" s="13"/>
      <c r="Q9" s="13"/>
      <c r="R9" s="14">
        <v>150</v>
      </c>
      <c r="S9" s="43">
        <f t="shared" si="0"/>
        <v>125</v>
      </c>
      <c r="T9" s="15">
        <v>50</v>
      </c>
      <c r="U9" s="16">
        <v>45</v>
      </c>
      <c r="V9" s="15">
        <v>50</v>
      </c>
      <c r="W9" s="16">
        <v>46</v>
      </c>
      <c r="X9" s="15">
        <v>50</v>
      </c>
      <c r="Y9" s="16">
        <v>40</v>
      </c>
      <c r="Z9" s="13"/>
      <c r="AA9" s="13"/>
      <c r="AB9" s="13"/>
      <c r="AC9" s="13"/>
      <c r="AD9" s="13"/>
      <c r="AE9" s="13"/>
      <c r="AF9" s="17">
        <v>150</v>
      </c>
      <c r="AG9" s="47">
        <f t="shared" si="1"/>
        <v>131</v>
      </c>
      <c r="AH9" s="18">
        <v>300</v>
      </c>
      <c r="AI9" s="18">
        <f t="shared" ref="AI9:AI15" si="4">S9+AG9</f>
        <v>256</v>
      </c>
      <c r="AJ9" s="19">
        <f t="shared" ref="AJ9:AJ15" si="5">IF(AH9&gt;0,AI9/AH9*100,0)</f>
        <v>85.333333333333343</v>
      </c>
      <c r="AK9" s="20" t="str">
        <f t="shared" si="2"/>
        <v>A</v>
      </c>
      <c r="AL9" s="20" t="str">
        <f t="shared" si="3"/>
        <v>Pass</v>
      </c>
    </row>
    <row r="10" spans="1:38" ht="15" customHeight="1" x14ac:dyDescent="0.3">
      <c r="A10" s="9" t="s">
        <v>29</v>
      </c>
      <c r="B10" s="10" t="s">
        <v>33</v>
      </c>
      <c r="C10" s="10" t="s">
        <v>36</v>
      </c>
      <c r="D10" s="9" t="s">
        <v>37</v>
      </c>
      <c r="E10" s="9">
        <v>3</v>
      </c>
      <c r="F10" s="11">
        <v>50</v>
      </c>
      <c r="G10" s="12">
        <v>41</v>
      </c>
      <c r="H10" s="11">
        <v>50</v>
      </c>
      <c r="I10" s="12">
        <v>42</v>
      </c>
      <c r="J10" s="11">
        <v>50</v>
      </c>
      <c r="K10" s="12">
        <v>38</v>
      </c>
      <c r="L10" s="13"/>
      <c r="M10" s="13"/>
      <c r="N10" s="13"/>
      <c r="O10" s="13"/>
      <c r="P10" s="13"/>
      <c r="Q10" s="13"/>
      <c r="R10" s="14">
        <v>150</v>
      </c>
      <c r="S10" s="43">
        <f t="shared" si="0"/>
        <v>121</v>
      </c>
      <c r="T10" s="15">
        <v>50</v>
      </c>
      <c r="U10" s="16">
        <v>40</v>
      </c>
      <c r="V10" s="15">
        <v>50</v>
      </c>
      <c r="W10" s="16">
        <v>46</v>
      </c>
      <c r="X10" s="15">
        <v>50</v>
      </c>
      <c r="Y10" s="16">
        <v>40</v>
      </c>
      <c r="Z10" s="13"/>
      <c r="AA10" s="13"/>
      <c r="AB10" s="13"/>
      <c r="AC10" s="13"/>
      <c r="AD10" s="13"/>
      <c r="AE10" s="13"/>
      <c r="AF10" s="17">
        <v>150</v>
      </c>
      <c r="AG10" s="47">
        <f t="shared" si="1"/>
        <v>126</v>
      </c>
      <c r="AH10" s="18">
        <v>300</v>
      </c>
      <c r="AI10" s="18">
        <f t="shared" si="4"/>
        <v>247</v>
      </c>
      <c r="AJ10" s="19">
        <f t="shared" si="5"/>
        <v>82.333333333333343</v>
      </c>
      <c r="AK10" s="20" t="str">
        <f t="shared" si="2"/>
        <v>A</v>
      </c>
      <c r="AL10" s="20" t="str">
        <f t="shared" si="3"/>
        <v>Pass</v>
      </c>
    </row>
    <row r="11" spans="1:38" ht="15" customHeight="1" x14ac:dyDescent="0.3">
      <c r="A11" s="21" t="s">
        <v>29</v>
      </c>
      <c r="B11" s="22" t="s">
        <v>38</v>
      </c>
      <c r="C11" s="22" t="s">
        <v>39</v>
      </c>
      <c r="D11" s="21" t="s">
        <v>40</v>
      </c>
      <c r="E11" s="21">
        <v>4</v>
      </c>
      <c r="F11" s="11">
        <v>50</v>
      </c>
      <c r="G11" s="12">
        <v>38</v>
      </c>
      <c r="H11" s="11">
        <v>50</v>
      </c>
      <c r="I11" s="12">
        <v>41</v>
      </c>
      <c r="J11" s="11">
        <v>50</v>
      </c>
      <c r="K11" s="12">
        <v>36</v>
      </c>
      <c r="L11" s="13"/>
      <c r="M11" s="13" t="s">
        <v>263</v>
      </c>
      <c r="N11" s="13"/>
      <c r="O11" s="13"/>
      <c r="P11" s="13"/>
      <c r="Q11" s="13"/>
      <c r="R11" s="14">
        <v>150</v>
      </c>
      <c r="S11" s="43">
        <f t="shared" si="0"/>
        <v>115</v>
      </c>
      <c r="T11" s="15">
        <v>50</v>
      </c>
      <c r="U11" s="16">
        <v>40</v>
      </c>
      <c r="V11" s="15">
        <v>50</v>
      </c>
      <c r="W11" s="16">
        <v>40</v>
      </c>
      <c r="X11" s="15">
        <v>50</v>
      </c>
      <c r="Y11" s="16">
        <v>41</v>
      </c>
      <c r="Z11" s="13"/>
      <c r="AA11" s="13"/>
      <c r="AB11" s="13"/>
      <c r="AC11" s="13"/>
      <c r="AD11" s="13"/>
      <c r="AE11" s="13"/>
      <c r="AF11" s="17">
        <v>150</v>
      </c>
      <c r="AG11" s="47">
        <f t="shared" si="1"/>
        <v>121</v>
      </c>
      <c r="AH11" s="18">
        <v>300</v>
      </c>
      <c r="AI11" s="18">
        <f t="shared" si="4"/>
        <v>236</v>
      </c>
      <c r="AJ11" s="19">
        <f t="shared" si="5"/>
        <v>78.666666666666657</v>
      </c>
      <c r="AK11" s="20" t="str">
        <f t="shared" si="2"/>
        <v>B</v>
      </c>
      <c r="AL11" s="20" t="str">
        <f t="shared" si="3"/>
        <v>Pass</v>
      </c>
    </row>
    <row r="12" spans="1:38" ht="15" customHeight="1" x14ac:dyDescent="0.3">
      <c r="A12" s="9" t="s">
        <v>29</v>
      </c>
      <c r="B12" s="10" t="s">
        <v>41</v>
      </c>
      <c r="C12" s="10" t="s">
        <v>42</v>
      </c>
      <c r="D12" s="9" t="s">
        <v>43</v>
      </c>
      <c r="E12" s="9">
        <v>5</v>
      </c>
      <c r="F12" s="11">
        <v>50</v>
      </c>
      <c r="G12" s="12">
        <v>26</v>
      </c>
      <c r="H12" s="11">
        <v>50</v>
      </c>
      <c r="I12" s="12">
        <v>33</v>
      </c>
      <c r="J12" s="11">
        <v>50</v>
      </c>
      <c r="K12" s="12">
        <v>28</v>
      </c>
      <c r="L12" s="13"/>
      <c r="M12" s="13"/>
      <c r="N12" s="13"/>
      <c r="O12" s="13"/>
      <c r="P12" s="13"/>
      <c r="Q12" s="13"/>
      <c r="R12" s="14">
        <v>150</v>
      </c>
      <c r="S12" s="43">
        <f t="shared" si="0"/>
        <v>87</v>
      </c>
      <c r="T12" s="15">
        <v>50</v>
      </c>
      <c r="U12" s="16">
        <v>25</v>
      </c>
      <c r="V12" s="15">
        <v>50</v>
      </c>
      <c r="W12" s="16">
        <v>32</v>
      </c>
      <c r="X12" s="15">
        <v>50</v>
      </c>
      <c r="Y12" s="16">
        <v>25</v>
      </c>
      <c r="Z12" s="13"/>
      <c r="AA12" s="13"/>
      <c r="AB12" s="13"/>
      <c r="AC12" s="13"/>
      <c r="AD12" s="13"/>
      <c r="AE12" s="13"/>
      <c r="AF12" s="17">
        <v>150</v>
      </c>
      <c r="AG12" s="47">
        <f t="shared" si="1"/>
        <v>82</v>
      </c>
      <c r="AH12" s="18">
        <v>300</v>
      </c>
      <c r="AI12" s="18">
        <f t="shared" si="4"/>
        <v>169</v>
      </c>
      <c r="AJ12" s="19">
        <f t="shared" si="5"/>
        <v>56.333333333333336</v>
      </c>
      <c r="AK12" s="20" t="str">
        <f t="shared" si="2"/>
        <v>C</v>
      </c>
      <c r="AL12" s="20" t="str">
        <f t="shared" si="3"/>
        <v>Pass</v>
      </c>
    </row>
    <row r="13" spans="1:38" ht="15" customHeight="1" x14ac:dyDescent="0.3">
      <c r="A13" s="21" t="s">
        <v>29</v>
      </c>
      <c r="B13" s="22" t="s">
        <v>44</v>
      </c>
      <c r="C13" s="22" t="s">
        <v>45</v>
      </c>
      <c r="D13" s="21" t="s">
        <v>46</v>
      </c>
      <c r="E13" s="21">
        <v>6</v>
      </c>
      <c r="F13" s="11">
        <v>50</v>
      </c>
      <c r="G13" s="12">
        <v>27</v>
      </c>
      <c r="H13" s="11">
        <v>50</v>
      </c>
      <c r="I13" s="12">
        <v>30</v>
      </c>
      <c r="J13" s="11">
        <v>50</v>
      </c>
      <c r="K13" s="12">
        <v>26</v>
      </c>
      <c r="L13" s="13"/>
      <c r="M13" s="13"/>
      <c r="N13" s="13"/>
      <c r="O13" s="13"/>
      <c r="P13" s="13"/>
      <c r="Q13" s="13"/>
      <c r="R13" s="14">
        <v>150</v>
      </c>
      <c r="S13" s="43">
        <f t="shared" si="0"/>
        <v>83</v>
      </c>
      <c r="T13" s="15">
        <v>50</v>
      </c>
      <c r="U13" s="16">
        <v>25</v>
      </c>
      <c r="V13" s="15">
        <v>50</v>
      </c>
      <c r="W13" s="16">
        <v>28</v>
      </c>
      <c r="X13" s="15">
        <v>50</v>
      </c>
      <c r="Y13" s="16">
        <v>28</v>
      </c>
      <c r="Z13" s="13"/>
      <c r="AA13" s="13"/>
      <c r="AB13" s="13"/>
      <c r="AC13" s="13"/>
      <c r="AD13" s="13"/>
      <c r="AE13" s="13"/>
      <c r="AF13" s="17">
        <v>150</v>
      </c>
      <c r="AG13" s="47">
        <f t="shared" si="1"/>
        <v>81</v>
      </c>
      <c r="AH13" s="18">
        <v>300</v>
      </c>
      <c r="AI13" s="18">
        <f t="shared" si="4"/>
        <v>164</v>
      </c>
      <c r="AJ13" s="19">
        <f t="shared" si="5"/>
        <v>54.666666666666664</v>
      </c>
      <c r="AK13" s="20" t="str">
        <f t="shared" si="2"/>
        <v>C</v>
      </c>
      <c r="AL13" s="20" t="str">
        <f t="shared" si="3"/>
        <v>Pass</v>
      </c>
    </row>
    <row r="14" spans="1:38" ht="14.4" x14ac:dyDescent="0.3">
      <c r="A14" s="9" t="s">
        <v>29</v>
      </c>
      <c r="B14" s="10" t="s">
        <v>47</v>
      </c>
      <c r="C14" s="10" t="s">
        <v>42</v>
      </c>
      <c r="D14" s="9" t="s">
        <v>48</v>
      </c>
      <c r="E14" s="9">
        <v>7</v>
      </c>
      <c r="F14" s="11">
        <v>50</v>
      </c>
      <c r="G14" s="12">
        <v>28</v>
      </c>
      <c r="H14" s="11">
        <v>50</v>
      </c>
      <c r="I14" s="12">
        <v>23</v>
      </c>
      <c r="J14" s="11">
        <v>50</v>
      </c>
      <c r="K14" s="12">
        <v>29</v>
      </c>
      <c r="L14" s="13"/>
      <c r="M14" s="13"/>
      <c r="N14" s="13"/>
      <c r="O14" s="13"/>
      <c r="P14" s="13"/>
      <c r="Q14" s="13"/>
      <c r="R14" s="14">
        <v>150</v>
      </c>
      <c r="S14" s="43">
        <f t="shared" si="0"/>
        <v>80</v>
      </c>
      <c r="T14" s="15">
        <v>50</v>
      </c>
      <c r="U14" s="16">
        <v>25</v>
      </c>
      <c r="V14" s="15">
        <v>50</v>
      </c>
      <c r="W14" s="16">
        <v>24</v>
      </c>
      <c r="X14" s="15">
        <v>50</v>
      </c>
      <c r="Y14" s="16">
        <v>27</v>
      </c>
      <c r="Z14" s="13"/>
      <c r="AA14" s="13"/>
      <c r="AB14" s="13"/>
      <c r="AC14" s="13"/>
      <c r="AD14" s="13"/>
      <c r="AE14" s="13"/>
      <c r="AF14" s="17">
        <v>150</v>
      </c>
      <c r="AG14" s="47">
        <f t="shared" si="1"/>
        <v>76</v>
      </c>
      <c r="AH14" s="18">
        <v>300</v>
      </c>
      <c r="AI14" s="18">
        <f t="shared" si="4"/>
        <v>156</v>
      </c>
      <c r="AJ14" s="19">
        <f t="shared" si="5"/>
        <v>52</v>
      </c>
      <c r="AK14" s="20" t="str">
        <f t="shared" si="2"/>
        <v>C</v>
      </c>
      <c r="AL14" s="20" t="str">
        <f t="shared" si="3"/>
        <v>Pass</v>
      </c>
    </row>
    <row r="15" spans="1:38" ht="16.05" customHeight="1" x14ac:dyDescent="0.45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4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44"/>
      <c r="AH15" s="23"/>
      <c r="AI15" s="23"/>
      <c r="AJ15" s="23"/>
      <c r="AK15" s="23"/>
      <c r="AL15" s="23"/>
    </row>
    <row r="16" spans="1:38" ht="15" customHeight="1" x14ac:dyDescent="0.3">
      <c r="A16" s="8" t="s">
        <v>49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42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42"/>
      <c r="AH16" s="8"/>
      <c r="AI16" s="8"/>
      <c r="AJ16" s="8"/>
      <c r="AK16" s="8"/>
      <c r="AL16" s="8"/>
    </row>
    <row r="17" spans="1:38" ht="15" customHeight="1" x14ac:dyDescent="0.3">
      <c r="A17" s="21" t="s">
        <v>50</v>
      </c>
      <c r="B17" s="22" t="s">
        <v>51</v>
      </c>
      <c r="C17" s="22" t="s">
        <v>52</v>
      </c>
      <c r="D17" s="21" t="s">
        <v>53</v>
      </c>
      <c r="E17" s="21">
        <v>1</v>
      </c>
      <c r="F17" s="11">
        <v>50</v>
      </c>
      <c r="G17" s="12">
        <v>46</v>
      </c>
      <c r="H17" s="11">
        <v>50</v>
      </c>
      <c r="I17" s="12">
        <v>43</v>
      </c>
      <c r="J17" s="11">
        <v>50</v>
      </c>
      <c r="K17" s="12">
        <v>46</v>
      </c>
      <c r="L17" s="13"/>
      <c r="M17" s="13"/>
      <c r="N17" s="13"/>
      <c r="O17" s="13"/>
      <c r="P17" s="13"/>
      <c r="Q17" s="13"/>
      <c r="R17" s="14">
        <v>150</v>
      </c>
      <c r="S17" s="43">
        <f t="shared" ref="S17:S22" si="6">G17+I17+K17</f>
        <v>135</v>
      </c>
      <c r="T17" s="15">
        <v>50</v>
      </c>
      <c r="U17" s="16">
        <v>45</v>
      </c>
      <c r="V17" s="15">
        <v>50</v>
      </c>
      <c r="W17" s="16">
        <v>45</v>
      </c>
      <c r="X17" s="15">
        <v>50</v>
      </c>
      <c r="Y17" s="16">
        <v>45</v>
      </c>
      <c r="Z17" s="13"/>
      <c r="AA17" s="13"/>
      <c r="AB17" s="13"/>
      <c r="AC17" s="13"/>
      <c r="AD17" s="13"/>
      <c r="AE17" s="13"/>
      <c r="AF17" s="17">
        <v>150</v>
      </c>
      <c r="AG17" s="47">
        <f t="shared" ref="AG17:AG22" si="7">U17+W17+Y17</f>
        <v>135</v>
      </c>
      <c r="AH17" s="18">
        <v>300</v>
      </c>
      <c r="AI17" s="18">
        <f t="shared" ref="AI17:AI22" si="8">S17+AG17</f>
        <v>270</v>
      </c>
      <c r="AJ17" s="19">
        <f t="shared" ref="AJ17:AJ22" si="9">IF(AH17&gt;0,AI17/AH17*100,0)</f>
        <v>90</v>
      </c>
      <c r="AK17" s="20" t="str">
        <f t="shared" ref="AK17:AK22" si="10">IF(AJ17&gt;=81,"A",IF(AJ17&gt;=61,"B",IF(AJ17&gt;=41,"C",IF(AJ17&gt;=33,"D","E"))))</f>
        <v>A</v>
      </c>
      <c r="AL17" s="20" t="str">
        <f t="shared" ref="AL17:AL22" si="11">IF(AK17="E","Fail","Pass")</f>
        <v>Pass</v>
      </c>
    </row>
    <row r="18" spans="1:38" ht="15" customHeight="1" x14ac:dyDescent="0.3">
      <c r="A18" s="9" t="s">
        <v>50</v>
      </c>
      <c r="B18" s="10" t="s">
        <v>54</v>
      </c>
      <c r="C18" s="10" t="s">
        <v>55</v>
      </c>
      <c r="D18" s="9" t="s">
        <v>56</v>
      </c>
      <c r="E18" s="9">
        <v>2</v>
      </c>
      <c r="F18" s="11">
        <v>50</v>
      </c>
      <c r="G18" s="12">
        <v>35</v>
      </c>
      <c r="H18" s="11">
        <v>50</v>
      </c>
      <c r="I18" s="12">
        <v>36</v>
      </c>
      <c r="J18" s="11">
        <v>50</v>
      </c>
      <c r="K18" s="12">
        <v>29</v>
      </c>
      <c r="L18" s="13"/>
      <c r="M18" s="13"/>
      <c r="N18" s="13"/>
      <c r="O18" s="13"/>
      <c r="P18" s="13"/>
      <c r="Q18" s="13"/>
      <c r="R18" s="14">
        <v>150</v>
      </c>
      <c r="S18" s="43">
        <f t="shared" si="6"/>
        <v>100</v>
      </c>
      <c r="T18" s="15">
        <v>50</v>
      </c>
      <c r="U18" s="16">
        <v>36</v>
      </c>
      <c r="V18" s="15">
        <v>50</v>
      </c>
      <c r="W18" s="16">
        <v>35</v>
      </c>
      <c r="X18" s="15">
        <v>50</v>
      </c>
      <c r="Y18" s="16">
        <v>30</v>
      </c>
      <c r="Z18" s="13"/>
      <c r="AA18" s="13"/>
      <c r="AB18" s="13"/>
      <c r="AC18" s="13"/>
      <c r="AD18" s="13"/>
      <c r="AE18" s="13"/>
      <c r="AF18" s="17">
        <v>150</v>
      </c>
      <c r="AG18" s="47">
        <f t="shared" si="7"/>
        <v>101</v>
      </c>
      <c r="AH18" s="18">
        <v>300</v>
      </c>
      <c r="AI18" s="18">
        <f t="shared" si="8"/>
        <v>201</v>
      </c>
      <c r="AJ18" s="19">
        <f t="shared" si="9"/>
        <v>67</v>
      </c>
      <c r="AK18" s="20" t="str">
        <f t="shared" si="10"/>
        <v>B</v>
      </c>
      <c r="AL18" s="20" t="str">
        <f t="shared" si="11"/>
        <v>Pass</v>
      </c>
    </row>
    <row r="19" spans="1:38" ht="15" customHeight="1" x14ac:dyDescent="0.3">
      <c r="A19" s="21" t="s">
        <v>50</v>
      </c>
      <c r="B19" s="22" t="s">
        <v>57</v>
      </c>
      <c r="C19" s="22" t="s">
        <v>58</v>
      </c>
      <c r="D19" s="21" t="s">
        <v>59</v>
      </c>
      <c r="E19" s="21">
        <v>3</v>
      </c>
      <c r="F19" s="11">
        <v>50</v>
      </c>
      <c r="G19" s="12">
        <v>36</v>
      </c>
      <c r="H19" s="11">
        <v>50</v>
      </c>
      <c r="I19" s="12">
        <v>38</v>
      </c>
      <c r="J19" s="11">
        <v>50</v>
      </c>
      <c r="K19" s="12">
        <v>36</v>
      </c>
      <c r="L19" s="13"/>
      <c r="M19" s="13"/>
      <c r="N19" s="13"/>
      <c r="O19" s="13"/>
      <c r="P19" s="13"/>
      <c r="Q19" s="13"/>
      <c r="R19" s="14">
        <v>150</v>
      </c>
      <c r="S19" s="43">
        <f t="shared" si="6"/>
        <v>110</v>
      </c>
      <c r="T19" s="15">
        <v>50</v>
      </c>
      <c r="U19" s="16">
        <v>35</v>
      </c>
      <c r="V19" s="15">
        <v>50</v>
      </c>
      <c r="W19" s="16">
        <v>39</v>
      </c>
      <c r="X19" s="15">
        <v>50</v>
      </c>
      <c r="Y19" s="16">
        <v>35</v>
      </c>
      <c r="Z19" s="13"/>
      <c r="AA19" s="13"/>
      <c r="AB19" s="13"/>
      <c r="AC19" s="13"/>
      <c r="AD19" s="13"/>
      <c r="AE19" s="13"/>
      <c r="AF19" s="17">
        <v>150</v>
      </c>
      <c r="AG19" s="47">
        <f t="shared" si="7"/>
        <v>109</v>
      </c>
      <c r="AH19" s="18">
        <v>300</v>
      </c>
      <c r="AI19" s="18">
        <f t="shared" si="8"/>
        <v>219</v>
      </c>
      <c r="AJ19" s="19">
        <f t="shared" si="9"/>
        <v>73</v>
      </c>
      <c r="AK19" s="20" t="str">
        <f t="shared" si="10"/>
        <v>B</v>
      </c>
      <c r="AL19" s="20" t="str">
        <f t="shared" si="11"/>
        <v>Pass</v>
      </c>
    </row>
    <row r="20" spans="1:38" ht="15" customHeight="1" x14ac:dyDescent="0.3">
      <c r="A20" s="9" t="s">
        <v>50</v>
      </c>
      <c r="B20" s="10" t="s">
        <v>60</v>
      </c>
      <c r="C20" s="10" t="s">
        <v>39</v>
      </c>
      <c r="D20" s="9" t="s">
        <v>61</v>
      </c>
      <c r="E20" s="9">
        <v>4</v>
      </c>
      <c r="F20" s="11">
        <v>50</v>
      </c>
      <c r="G20" s="12">
        <v>41</v>
      </c>
      <c r="H20" s="11">
        <v>50</v>
      </c>
      <c r="I20" s="12">
        <v>41</v>
      </c>
      <c r="J20" s="11">
        <v>50</v>
      </c>
      <c r="K20" s="12">
        <v>40</v>
      </c>
      <c r="L20" s="13"/>
      <c r="M20" s="13"/>
      <c r="N20" s="13"/>
      <c r="O20" s="13"/>
      <c r="P20" s="13"/>
      <c r="Q20" s="13"/>
      <c r="R20" s="14">
        <v>150</v>
      </c>
      <c r="S20" s="43">
        <f t="shared" si="6"/>
        <v>122</v>
      </c>
      <c r="T20" s="15">
        <v>50</v>
      </c>
      <c r="U20" s="16">
        <v>40</v>
      </c>
      <c r="V20" s="15">
        <v>50</v>
      </c>
      <c r="W20" s="16">
        <v>40</v>
      </c>
      <c r="X20" s="15">
        <v>50</v>
      </c>
      <c r="Y20" s="16">
        <v>41</v>
      </c>
      <c r="Z20" s="13"/>
      <c r="AA20" s="13"/>
      <c r="AB20" s="13"/>
      <c r="AC20" s="13"/>
      <c r="AD20" s="13"/>
      <c r="AE20" s="13"/>
      <c r="AF20" s="17">
        <v>150</v>
      </c>
      <c r="AG20" s="47">
        <f t="shared" si="7"/>
        <v>121</v>
      </c>
      <c r="AH20" s="18">
        <v>300</v>
      </c>
      <c r="AI20" s="18">
        <f t="shared" si="8"/>
        <v>243</v>
      </c>
      <c r="AJ20" s="19">
        <f t="shared" si="9"/>
        <v>81</v>
      </c>
      <c r="AK20" s="20" t="str">
        <f t="shared" si="10"/>
        <v>A</v>
      </c>
      <c r="AL20" s="20" t="str">
        <f t="shared" si="11"/>
        <v>Pass</v>
      </c>
    </row>
    <row r="21" spans="1:38" ht="15" customHeight="1" x14ac:dyDescent="0.3">
      <c r="A21" s="21" t="s">
        <v>50</v>
      </c>
      <c r="B21" s="22" t="s">
        <v>62</v>
      </c>
      <c r="C21" s="22" t="s">
        <v>63</v>
      </c>
      <c r="D21" s="21" t="s">
        <v>64</v>
      </c>
      <c r="E21" s="21">
        <v>5</v>
      </c>
      <c r="F21" s="11">
        <v>50</v>
      </c>
      <c r="G21" s="12">
        <v>41</v>
      </c>
      <c r="H21" s="11">
        <v>50</v>
      </c>
      <c r="I21" s="12">
        <v>34</v>
      </c>
      <c r="J21" s="11">
        <v>50</v>
      </c>
      <c r="K21" s="12">
        <v>36</v>
      </c>
      <c r="L21" s="13"/>
      <c r="M21" s="13"/>
      <c r="N21" s="13"/>
      <c r="O21" s="13"/>
      <c r="P21" s="13"/>
      <c r="Q21" s="13"/>
      <c r="R21" s="14">
        <v>150</v>
      </c>
      <c r="S21" s="43">
        <f t="shared" si="6"/>
        <v>111</v>
      </c>
      <c r="T21" s="15">
        <v>50</v>
      </c>
      <c r="U21" s="16">
        <v>42</v>
      </c>
      <c r="V21" s="15">
        <v>50</v>
      </c>
      <c r="W21" s="16">
        <v>35</v>
      </c>
      <c r="X21" s="15">
        <v>50</v>
      </c>
      <c r="Y21" s="16">
        <v>35</v>
      </c>
      <c r="Z21" s="13"/>
      <c r="AA21" s="13"/>
      <c r="AB21" s="13"/>
      <c r="AC21" s="13"/>
      <c r="AD21" s="13"/>
      <c r="AE21" s="13"/>
      <c r="AF21" s="17">
        <v>150</v>
      </c>
      <c r="AG21" s="47">
        <f t="shared" si="7"/>
        <v>112</v>
      </c>
      <c r="AH21" s="18">
        <v>300</v>
      </c>
      <c r="AI21" s="18">
        <f t="shared" si="8"/>
        <v>223</v>
      </c>
      <c r="AJ21" s="19">
        <f t="shared" si="9"/>
        <v>74.333333333333329</v>
      </c>
      <c r="AK21" s="20" t="str">
        <f t="shared" si="10"/>
        <v>B</v>
      </c>
      <c r="AL21" s="20" t="str">
        <f t="shared" si="11"/>
        <v>Pass</v>
      </c>
    </row>
    <row r="22" spans="1:38" ht="14.4" x14ac:dyDescent="0.3">
      <c r="A22" s="9" t="s">
        <v>50</v>
      </c>
      <c r="B22" s="10" t="s">
        <v>65</v>
      </c>
      <c r="C22" s="10" t="s">
        <v>66</v>
      </c>
      <c r="D22" s="9" t="s">
        <v>67</v>
      </c>
      <c r="E22" s="9">
        <v>6</v>
      </c>
      <c r="F22" s="11">
        <v>50</v>
      </c>
      <c r="G22" s="12">
        <v>36</v>
      </c>
      <c r="H22" s="11">
        <v>50</v>
      </c>
      <c r="I22" s="12">
        <v>37</v>
      </c>
      <c r="J22" s="11">
        <v>50</v>
      </c>
      <c r="K22" s="12">
        <v>34</v>
      </c>
      <c r="L22" s="13"/>
      <c r="M22" s="13"/>
      <c r="N22" s="13"/>
      <c r="O22" s="13"/>
      <c r="P22" s="13"/>
      <c r="Q22" s="13"/>
      <c r="R22" s="14">
        <v>150</v>
      </c>
      <c r="S22" s="43">
        <f t="shared" si="6"/>
        <v>107</v>
      </c>
      <c r="T22" s="15">
        <v>50</v>
      </c>
      <c r="U22" s="16">
        <v>35</v>
      </c>
      <c r="V22" s="15">
        <v>50</v>
      </c>
      <c r="W22" s="16">
        <v>36</v>
      </c>
      <c r="X22" s="15">
        <v>50</v>
      </c>
      <c r="Y22" s="16">
        <v>35</v>
      </c>
      <c r="Z22" s="13"/>
      <c r="AA22" s="13"/>
      <c r="AB22" s="13"/>
      <c r="AC22" s="13"/>
      <c r="AD22" s="13"/>
      <c r="AE22" s="13"/>
      <c r="AF22" s="17">
        <v>150</v>
      </c>
      <c r="AG22" s="47">
        <f t="shared" si="7"/>
        <v>106</v>
      </c>
      <c r="AH22" s="18">
        <v>300</v>
      </c>
      <c r="AI22" s="18">
        <f t="shared" si="8"/>
        <v>213</v>
      </c>
      <c r="AJ22" s="19">
        <f t="shared" si="9"/>
        <v>71</v>
      </c>
      <c r="AK22" s="20" t="str">
        <f t="shared" si="10"/>
        <v>B</v>
      </c>
      <c r="AL22" s="20" t="str">
        <f t="shared" si="11"/>
        <v>Pass</v>
      </c>
    </row>
    <row r="23" spans="1:38" ht="16.05" customHeight="1" x14ac:dyDescent="0.45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4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44"/>
      <c r="AH23" s="23"/>
      <c r="AI23" s="23"/>
      <c r="AJ23" s="23"/>
      <c r="AK23" s="23"/>
      <c r="AL23" s="23"/>
    </row>
    <row r="24" spans="1:38" ht="15" customHeight="1" x14ac:dyDescent="0.3">
      <c r="A24" s="8" t="s">
        <v>68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42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42"/>
      <c r="AH24" s="8"/>
      <c r="AI24" s="8"/>
      <c r="AJ24" s="8"/>
      <c r="AK24" s="8"/>
      <c r="AL24" s="8"/>
    </row>
    <row r="25" spans="1:38" ht="15" customHeight="1" x14ac:dyDescent="0.3">
      <c r="A25" s="21" t="s">
        <v>69</v>
      </c>
      <c r="B25" s="22" t="s">
        <v>70</v>
      </c>
      <c r="C25" s="22" t="s">
        <v>71</v>
      </c>
      <c r="D25" s="21" t="s">
        <v>72</v>
      </c>
      <c r="E25" s="21">
        <v>1</v>
      </c>
      <c r="F25" s="11">
        <v>50</v>
      </c>
      <c r="G25" s="12">
        <v>35</v>
      </c>
      <c r="H25" s="11">
        <v>50</v>
      </c>
      <c r="I25" s="12">
        <v>37</v>
      </c>
      <c r="J25" s="11">
        <v>50</v>
      </c>
      <c r="K25" s="12">
        <v>31</v>
      </c>
      <c r="L25" s="11">
        <v>50</v>
      </c>
      <c r="M25" s="12">
        <v>33</v>
      </c>
      <c r="N25" s="13"/>
      <c r="O25" s="13"/>
      <c r="P25" s="13"/>
      <c r="Q25" s="13"/>
      <c r="R25" s="14">
        <v>200</v>
      </c>
      <c r="S25" s="43">
        <f t="shared" ref="S25:S29" si="12">G25+I25+K25+M25</f>
        <v>136</v>
      </c>
      <c r="T25" s="15">
        <v>50</v>
      </c>
      <c r="U25" s="16">
        <v>42</v>
      </c>
      <c r="V25" s="15">
        <v>50</v>
      </c>
      <c r="W25" s="16">
        <v>38</v>
      </c>
      <c r="X25" s="15">
        <v>50</v>
      </c>
      <c r="Y25" s="16">
        <v>45</v>
      </c>
      <c r="Z25" s="15">
        <v>50</v>
      </c>
      <c r="AA25" s="16">
        <v>44</v>
      </c>
      <c r="AB25" s="13"/>
      <c r="AC25" s="13"/>
      <c r="AD25" s="13"/>
      <c r="AE25" s="13"/>
      <c r="AF25" s="17">
        <v>200</v>
      </c>
      <c r="AG25" s="47">
        <f t="shared" ref="AG25:AG29" si="13">U25+W25+Y25+AA25</f>
        <v>169</v>
      </c>
      <c r="AH25" s="18">
        <v>400</v>
      </c>
      <c r="AI25" s="18">
        <f t="shared" ref="AI25:AI29" si="14">S25+AG25</f>
        <v>305</v>
      </c>
      <c r="AJ25" s="19">
        <f t="shared" ref="AJ25:AJ29" si="15">IF(AH25&gt;0,AI25/AH25*100,0)</f>
        <v>76.25</v>
      </c>
      <c r="AK25" s="20" t="str">
        <f t="shared" ref="AK25:AK29" si="16">IF(AJ25&gt;=81,"A",IF(AJ25&gt;=61,"B",IF(AJ25&gt;=41,"C",IF(AJ25&gt;=33,"D","E"))))</f>
        <v>B</v>
      </c>
      <c r="AL25" s="20" t="str">
        <f t="shared" ref="AL25:AL29" si="17">IF(AK25="E","Fail","Pass")</f>
        <v>Pass</v>
      </c>
    </row>
    <row r="26" spans="1:38" ht="15" customHeight="1" x14ac:dyDescent="0.3">
      <c r="A26" s="9" t="s">
        <v>69</v>
      </c>
      <c r="B26" s="10" t="s">
        <v>73</v>
      </c>
      <c r="C26" s="10" t="s">
        <v>74</v>
      </c>
      <c r="D26" s="9" t="s">
        <v>75</v>
      </c>
      <c r="E26" s="9">
        <v>2</v>
      </c>
      <c r="F26" s="11">
        <v>50</v>
      </c>
      <c r="G26" s="12">
        <v>35</v>
      </c>
      <c r="H26" s="11">
        <v>50</v>
      </c>
      <c r="I26" s="12">
        <v>36</v>
      </c>
      <c r="J26" s="11">
        <v>50</v>
      </c>
      <c r="K26" s="12">
        <v>27</v>
      </c>
      <c r="L26" s="11">
        <v>50</v>
      </c>
      <c r="M26" s="12">
        <v>40</v>
      </c>
      <c r="N26" s="13"/>
      <c r="O26" s="13"/>
      <c r="P26" s="13"/>
      <c r="Q26" s="13"/>
      <c r="R26" s="14">
        <v>200</v>
      </c>
      <c r="S26" s="43">
        <f t="shared" si="12"/>
        <v>138</v>
      </c>
      <c r="T26" s="15">
        <v>50</v>
      </c>
      <c r="U26" s="16">
        <v>39</v>
      </c>
      <c r="V26" s="15">
        <v>50</v>
      </c>
      <c r="W26" s="16">
        <v>45</v>
      </c>
      <c r="X26" s="15">
        <v>50</v>
      </c>
      <c r="Y26" s="16">
        <v>45</v>
      </c>
      <c r="Z26" s="15">
        <v>50</v>
      </c>
      <c r="AA26" s="16">
        <v>46</v>
      </c>
      <c r="AB26" s="13"/>
      <c r="AC26" s="13"/>
      <c r="AD26" s="13"/>
      <c r="AE26" s="13"/>
      <c r="AF26" s="17">
        <v>200</v>
      </c>
      <c r="AG26" s="47">
        <f t="shared" si="13"/>
        <v>175</v>
      </c>
      <c r="AH26" s="18">
        <v>400</v>
      </c>
      <c r="AI26" s="18">
        <f t="shared" si="14"/>
        <v>313</v>
      </c>
      <c r="AJ26" s="19">
        <f t="shared" si="15"/>
        <v>78.25</v>
      </c>
      <c r="AK26" s="20" t="str">
        <f t="shared" si="16"/>
        <v>B</v>
      </c>
      <c r="AL26" s="20" t="str">
        <f t="shared" si="17"/>
        <v>Pass</v>
      </c>
    </row>
    <row r="27" spans="1:38" ht="15" customHeight="1" x14ac:dyDescent="0.3">
      <c r="A27" s="21" t="s">
        <v>69</v>
      </c>
      <c r="B27" s="22" t="s">
        <v>76</v>
      </c>
      <c r="C27" s="22" t="s">
        <v>77</v>
      </c>
      <c r="D27" s="21" t="s">
        <v>78</v>
      </c>
      <c r="E27" s="21">
        <v>3</v>
      </c>
      <c r="F27" s="11">
        <v>50</v>
      </c>
      <c r="G27" s="12">
        <v>24</v>
      </c>
      <c r="H27" s="11">
        <v>50</v>
      </c>
      <c r="I27" s="12">
        <v>26</v>
      </c>
      <c r="J27" s="11">
        <v>50</v>
      </c>
      <c r="K27" s="12">
        <v>27</v>
      </c>
      <c r="L27" s="11">
        <v>50</v>
      </c>
      <c r="M27" s="12">
        <v>32</v>
      </c>
      <c r="N27" s="13"/>
      <c r="O27" s="13"/>
      <c r="P27" s="13"/>
      <c r="Q27" s="13"/>
      <c r="R27" s="14">
        <v>200</v>
      </c>
      <c r="S27" s="43">
        <f t="shared" si="12"/>
        <v>109</v>
      </c>
      <c r="T27" s="15">
        <v>50</v>
      </c>
      <c r="U27" s="16">
        <v>22</v>
      </c>
      <c r="V27" s="15">
        <v>50</v>
      </c>
      <c r="W27" s="16">
        <v>36</v>
      </c>
      <c r="X27" s="15">
        <v>50</v>
      </c>
      <c r="Y27" s="16">
        <v>35</v>
      </c>
      <c r="Z27" s="15">
        <v>50</v>
      </c>
      <c r="AA27" s="16">
        <v>35</v>
      </c>
      <c r="AB27" s="13"/>
      <c r="AC27" s="13"/>
      <c r="AD27" s="13"/>
      <c r="AE27" s="13"/>
      <c r="AF27" s="17">
        <v>200</v>
      </c>
      <c r="AG27" s="47">
        <f t="shared" si="13"/>
        <v>128</v>
      </c>
      <c r="AH27" s="18">
        <v>400</v>
      </c>
      <c r="AI27" s="18">
        <f t="shared" si="14"/>
        <v>237</v>
      </c>
      <c r="AJ27" s="19">
        <f t="shared" si="15"/>
        <v>59.25</v>
      </c>
      <c r="AK27" s="20" t="str">
        <f t="shared" si="16"/>
        <v>C</v>
      </c>
      <c r="AL27" s="20" t="str">
        <f t="shared" si="17"/>
        <v>Pass</v>
      </c>
    </row>
    <row r="28" spans="1:38" ht="15" customHeight="1" x14ac:dyDescent="0.3">
      <c r="A28" s="9" t="s">
        <v>69</v>
      </c>
      <c r="B28" s="10" t="s">
        <v>79</v>
      </c>
      <c r="C28" s="10" t="s">
        <v>80</v>
      </c>
      <c r="D28" s="9" t="s">
        <v>81</v>
      </c>
      <c r="E28" s="9">
        <v>4</v>
      </c>
      <c r="F28" s="11">
        <v>50</v>
      </c>
      <c r="G28" s="12">
        <v>34</v>
      </c>
      <c r="H28" s="11">
        <v>50</v>
      </c>
      <c r="I28" s="12">
        <v>34</v>
      </c>
      <c r="J28" s="11">
        <v>50</v>
      </c>
      <c r="K28" s="12">
        <v>27</v>
      </c>
      <c r="L28" s="11">
        <v>50</v>
      </c>
      <c r="M28" s="12">
        <v>34</v>
      </c>
      <c r="N28" s="13"/>
      <c r="O28" s="13"/>
      <c r="P28" s="13"/>
      <c r="Q28" s="13"/>
      <c r="R28" s="14">
        <v>200</v>
      </c>
      <c r="S28" s="43">
        <f t="shared" si="12"/>
        <v>129</v>
      </c>
      <c r="T28" s="15">
        <v>50</v>
      </c>
      <c r="U28" s="16">
        <v>24</v>
      </c>
      <c r="V28" s="15">
        <v>50</v>
      </c>
      <c r="W28" s="16">
        <v>28</v>
      </c>
      <c r="X28" s="15">
        <v>50</v>
      </c>
      <c r="Y28" s="16">
        <v>25</v>
      </c>
      <c r="Z28" s="15">
        <v>50</v>
      </c>
      <c r="AA28" s="16">
        <v>35</v>
      </c>
      <c r="AB28" s="13"/>
      <c r="AC28" s="13"/>
      <c r="AD28" s="13"/>
      <c r="AE28" s="13"/>
      <c r="AF28" s="17">
        <v>200</v>
      </c>
      <c r="AG28" s="47">
        <f t="shared" si="13"/>
        <v>112</v>
      </c>
      <c r="AH28" s="18">
        <v>400</v>
      </c>
      <c r="AI28" s="18">
        <f t="shared" si="14"/>
        <v>241</v>
      </c>
      <c r="AJ28" s="19">
        <f t="shared" si="15"/>
        <v>60.25</v>
      </c>
      <c r="AK28" s="20" t="str">
        <f t="shared" si="16"/>
        <v>C</v>
      </c>
      <c r="AL28" s="20" t="str">
        <f t="shared" si="17"/>
        <v>Pass</v>
      </c>
    </row>
    <row r="29" spans="1:38" ht="14.4" x14ac:dyDescent="0.3">
      <c r="A29" s="21" t="s">
        <v>69</v>
      </c>
      <c r="B29" s="22" t="s">
        <v>82</v>
      </c>
      <c r="C29" s="22" t="s">
        <v>66</v>
      </c>
      <c r="D29" s="21" t="s">
        <v>83</v>
      </c>
      <c r="E29" s="21">
        <v>5</v>
      </c>
      <c r="F29" s="11">
        <v>50</v>
      </c>
      <c r="G29" s="12">
        <v>22</v>
      </c>
      <c r="H29" s="11">
        <v>50</v>
      </c>
      <c r="I29" s="12">
        <v>33</v>
      </c>
      <c r="J29" s="11">
        <v>50</v>
      </c>
      <c r="K29" s="12">
        <v>27</v>
      </c>
      <c r="L29" s="11">
        <v>50</v>
      </c>
      <c r="M29" s="12">
        <v>35</v>
      </c>
      <c r="N29" s="13"/>
      <c r="O29" s="13"/>
      <c r="P29" s="13"/>
      <c r="Q29" s="13"/>
      <c r="R29" s="14">
        <v>200</v>
      </c>
      <c r="S29" s="43">
        <f t="shared" si="12"/>
        <v>117</v>
      </c>
      <c r="T29" s="15">
        <v>50</v>
      </c>
      <c r="U29" s="16">
        <v>24</v>
      </c>
      <c r="V29" s="15">
        <v>50</v>
      </c>
      <c r="W29" s="16">
        <v>30</v>
      </c>
      <c r="X29" s="15">
        <v>50</v>
      </c>
      <c r="Y29" s="16">
        <v>25</v>
      </c>
      <c r="Z29" s="15">
        <v>50</v>
      </c>
      <c r="AA29" s="16">
        <v>40</v>
      </c>
      <c r="AB29" s="13"/>
      <c r="AC29" s="13"/>
      <c r="AD29" s="13"/>
      <c r="AE29" s="13"/>
      <c r="AF29" s="17">
        <v>200</v>
      </c>
      <c r="AG29" s="47">
        <f t="shared" si="13"/>
        <v>119</v>
      </c>
      <c r="AH29" s="18">
        <v>400</v>
      </c>
      <c r="AI29" s="18">
        <f t="shared" si="14"/>
        <v>236</v>
      </c>
      <c r="AJ29" s="19">
        <f t="shared" si="15"/>
        <v>59</v>
      </c>
      <c r="AK29" s="20" t="str">
        <f t="shared" si="16"/>
        <v>C</v>
      </c>
      <c r="AL29" s="20" t="str">
        <f t="shared" si="17"/>
        <v>Pass</v>
      </c>
    </row>
    <row r="30" spans="1:38" ht="16.05" customHeight="1" x14ac:dyDescent="0.45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44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44"/>
      <c r="AH30" s="23"/>
      <c r="AI30" s="23"/>
      <c r="AJ30" s="23"/>
      <c r="AK30" s="23"/>
      <c r="AL30" s="23"/>
    </row>
    <row r="31" spans="1:38" ht="15" customHeight="1" x14ac:dyDescent="0.3">
      <c r="A31" s="8" t="s">
        <v>84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42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42"/>
      <c r="AH31" s="8"/>
      <c r="AI31" s="8"/>
      <c r="AJ31" s="8"/>
      <c r="AK31" s="8"/>
      <c r="AL31" s="8"/>
    </row>
    <row r="32" spans="1:38" ht="15" customHeight="1" x14ac:dyDescent="0.3">
      <c r="A32" s="9" t="s">
        <v>85</v>
      </c>
      <c r="B32" s="10" t="s">
        <v>86</v>
      </c>
      <c r="C32" s="10" t="s">
        <v>87</v>
      </c>
      <c r="D32" s="9" t="s">
        <v>88</v>
      </c>
      <c r="E32" s="9">
        <v>1</v>
      </c>
      <c r="F32" s="11">
        <v>50</v>
      </c>
      <c r="G32" s="12">
        <v>38</v>
      </c>
      <c r="H32" s="11">
        <v>50</v>
      </c>
      <c r="I32" s="12">
        <v>46</v>
      </c>
      <c r="J32" s="11">
        <v>50</v>
      </c>
      <c r="K32" s="12">
        <v>36</v>
      </c>
      <c r="L32" s="11">
        <v>50</v>
      </c>
      <c r="M32" s="12">
        <v>46</v>
      </c>
      <c r="N32" s="13"/>
      <c r="O32" s="13"/>
      <c r="P32" s="13"/>
      <c r="Q32" s="13"/>
      <c r="R32" s="14">
        <v>200</v>
      </c>
      <c r="S32" s="43">
        <f t="shared" ref="S32:S34" si="18">G32+I32+K32+M32</f>
        <v>166</v>
      </c>
      <c r="T32" s="15">
        <v>50</v>
      </c>
      <c r="U32" s="16">
        <v>48</v>
      </c>
      <c r="V32" s="15">
        <v>50</v>
      </c>
      <c r="W32" s="16">
        <v>48</v>
      </c>
      <c r="X32" s="15">
        <v>50</v>
      </c>
      <c r="Y32" s="16">
        <v>42</v>
      </c>
      <c r="Z32" s="15">
        <v>50</v>
      </c>
      <c r="AA32" s="16">
        <v>41</v>
      </c>
      <c r="AB32" s="13"/>
      <c r="AC32" s="13"/>
      <c r="AD32" s="13"/>
      <c r="AE32" s="13"/>
      <c r="AF32" s="17">
        <v>200</v>
      </c>
      <c r="AG32" s="47">
        <f t="shared" ref="AG32:AG39" si="19">U32+W32+Y32+AA32</f>
        <v>179</v>
      </c>
      <c r="AH32" s="18">
        <v>400</v>
      </c>
      <c r="AI32" s="18">
        <f t="shared" ref="AI32:AI34" si="20">S32+AG32</f>
        <v>345</v>
      </c>
      <c r="AJ32" s="19">
        <f t="shared" ref="AJ32:AJ42" si="21">IF(AH32&gt;0,AI32/AH32*100,0)</f>
        <v>86.25</v>
      </c>
      <c r="AK32" s="20" t="str">
        <f t="shared" ref="AK32:AK42" si="22">IF(AJ32&gt;=81,"A",IF(AJ32&gt;=61,"B",IF(AJ32&gt;=41,"C",IF(AJ32&gt;=33,"D","E"))))</f>
        <v>A</v>
      </c>
      <c r="AL32" s="20" t="str">
        <f t="shared" ref="AL32:AL42" si="23">IF(AK32="E","Fail","Pass")</f>
        <v>Pass</v>
      </c>
    </row>
    <row r="33" spans="1:38" ht="15" customHeight="1" x14ac:dyDescent="0.3">
      <c r="A33" s="21" t="s">
        <v>85</v>
      </c>
      <c r="B33" s="22" t="s">
        <v>89</v>
      </c>
      <c r="C33" s="22" t="s">
        <v>90</v>
      </c>
      <c r="D33" s="21" t="s">
        <v>91</v>
      </c>
      <c r="E33" s="21">
        <v>2</v>
      </c>
      <c r="F33" s="11">
        <v>50</v>
      </c>
      <c r="G33" s="12">
        <v>39</v>
      </c>
      <c r="H33" s="11">
        <v>50</v>
      </c>
      <c r="I33" s="12">
        <v>46</v>
      </c>
      <c r="J33" s="11">
        <v>50</v>
      </c>
      <c r="K33" s="12">
        <v>36</v>
      </c>
      <c r="L33" s="11">
        <v>50</v>
      </c>
      <c r="M33" s="12">
        <v>46</v>
      </c>
      <c r="N33" s="13"/>
      <c r="O33" s="13"/>
      <c r="P33" s="13"/>
      <c r="Q33" s="13"/>
      <c r="R33" s="14">
        <v>200</v>
      </c>
      <c r="S33" s="43">
        <f t="shared" si="18"/>
        <v>167</v>
      </c>
      <c r="T33" s="15">
        <v>50</v>
      </c>
      <c r="U33" s="16">
        <v>45</v>
      </c>
      <c r="V33" s="15">
        <v>50</v>
      </c>
      <c r="W33" s="16">
        <v>30</v>
      </c>
      <c r="X33" s="15">
        <v>50</v>
      </c>
      <c r="Y33" s="16">
        <v>44</v>
      </c>
      <c r="Z33" s="15">
        <v>50</v>
      </c>
      <c r="AA33" s="16">
        <v>46</v>
      </c>
      <c r="AB33" s="13"/>
      <c r="AC33" s="13"/>
      <c r="AD33" s="13"/>
      <c r="AE33" s="13"/>
      <c r="AF33" s="17">
        <v>200</v>
      </c>
      <c r="AG33" s="47">
        <f t="shared" si="19"/>
        <v>165</v>
      </c>
      <c r="AH33" s="18">
        <v>400</v>
      </c>
      <c r="AI33" s="18">
        <f t="shared" si="20"/>
        <v>332</v>
      </c>
      <c r="AJ33" s="19">
        <f t="shared" si="21"/>
        <v>83</v>
      </c>
      <c r="AK33" s="20" t="str">
        <f t="shared" si="22"/>
        <v>A</v>
      </c>
      <c r="AL33" s="20" t="str">
        <f t="shared" si="23"/>
        <v>Pass</v>
      </c>
    </row>
    <row r="34" spans="1:38" ht="15" customHeight="1" x14ac:dyDescent="0.3">
      <c r="A34" s="9" t="s">
        <v>85</v>
      </c>
      <c r="B34" s="10" t="s">
        <v>92</v>
      </c>
      <c r="C34" s="10" t="s">
        <v>90</v>
      </c>
      <c r="D34" s="9" t="s">
        <v>91</v>
      </c>
      <c r="E34" s="9">
        <v>3</v>
      </c>
      <c r="F34" s="11">
        <v>50</v>
      </c>
      <c r="G34" s="12">
        <v>39</v>
      </c>
      <c r="H34" s="11">
        <v>50</v>
      </c>
      <c r="I34" s="12">
        <v>49</v>
      </c>
      <c r="J34" s="11">
        <v>50</v>
      </c>
      <c r="K34" s="12">
        <v>39</v>
      </c>
      <c r="L34" s="11">
        <v>50</v>
      </c>
      <c r="M34" s="12">
        <v>42</v>
      </c>
      <c r="N34" s="13"/>
      <c r="O34" s="13"/>
      <c r="P34" s="13"/>
      <c r="Q34" s="13"/>
      <c r="R34" s="14">
        <v>200</v>
      </c>
      <c r="S34" s="43">
        <f t="shared" si="18"/>
        <v>169</v>
      </c>
      <c r="T34" s="15">
        <v>50</v>
      </c>
      <c r="U34" s="16">
        <v>45</v>
      </c>
      <c r="V34" s="15">
        <v>50</v>
      </c>
      <c r="W34" s="16">
        <v>46</v>
      </c>
      <c r="X34" s="15">
        <v>50</v>
      </c>
      <c r="Y34" s="16">
        <v>46</v>
      </c>
      <c r="Z34" s="15">
        <v>50</v>
      </c>
      <c r="AA34" s="16">
        <v>40</v>
      </c>
      <c r="AB34" s="13"/>
      <c r="AC34" s="13"/>
      <c r="AD34" s="13"/>
      <c r="AE34" s="13"/>
      <c r="AF34" s="17">
        <v>200</v>
      </c>
      <c r="AG34" s="47">
        <f t="shared" si="19"/>
        <v>177</v>
      </c>
      <c r="AH34" s="18">
        <v>400</v>
      </c>
      <c r="AI34" s="18">
        <f t="shared" si="20"/>
        <v>346</v>
      </c>
      <c r="AJ34" s="19">
        <f t="shared" si="21"/>
        <v>86.5</v>
      </c>
      <c r="AK34" s="20" t="str">
        <f t="shared" si="22"/>
        <v>A</v>
      </c>
      <c r="AL34" s="20" t="str">
        <f t="shared" si="23"/>
        <v>Pass</v>
      </c>
    </row>
    <row r="35" spans="1:38" ht="15" customHeight="1" x14ac:dyDescent="0.3">
      <c r="A35" s="21" t="s">
        <v>85</v>
      </c>
      <c r="B35" s="22" t="s">
        <v>93</v>
      </c>
      <c r="C35" s="22" t="s">
        <v>94</v>
      </c>
      <c r="D35" s="21" t="s">
        <v>95</v>
      </c>
      <c r="E35" s="21">
        <v>4</v>
      </c>
      <c r="F35" s="37" t="s">
        <v>96</v>
      </c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9"/>
      <c r="R35" s="24">
        <v>0</v>
      </c>
      <c r="S35" s="45">
        <v>0</v>
      </c>
      <c r="T35" s="15">
        <v>50</v>
      </c>
      <c r="U35" s="16">
        <v>43</v>
      </c>
      <c r="V35" s="15">
        <v>50</v>
      </c>
      <c r="W35" s="16">
        <v>43</v>
      </c>
      <c r="X35" s="15">
        <v>50</v>
      </c>
      <c r="Y35" s="16">
        <v>25</v>
      </c>
      <c r="Z35" s="15">
        <v>50</v>
      </c>
      <c r="AA35" s="16">
        <v>27</v>
      </c>
      <c r="AB35" s="13"/>
      <c r="AC35" s="13"/>
      <c r="AD35" s="13"/>
      <c r="AE35" s="13"/>
      <c r="AF35" s="17">
        <v>200</v>
      </c>
      <c r="AG35" s="47">
        <f t="shared" si="19"/>
        <v>138</v>
      </c>
      <c r="AH35" s="18">
        <v>400</v>
      </c>
      <c r="AI35" s="18">
        <f>AG35</f>
        <v>138</v>
      </c>
      <c r="AJ35" s="19">
        <f t="shared" si="21"/>
        <v>34.5</v>
      </c>
      <c r="AK35" s="20" t="str">
        <f t="shared" si="22"/>
        <v>D</v>
      </c>
      <c r="AL35" s="20" t="str">
        <f t="shared" si="23"/>
        <v>Pass</v>
      </c>
    </row>
    <row r="36" spans="1:38" ht="15" customHeight="1" x14ac:dyDescent="0.3">
      <c r="A36" s="9" t="s">
        <v>85</v>
      </c>
      <c r="B36" s="10" t="s">
        <v>97</v>
      </c>
      <c r="C36" s="10" t="s">
        <v>98</v>
      </c>
      <c r="D36" s="9" t="s">
        <v>99</v>
      </c>
      <c r="E36" s="9">
        <v>5</v>
      </c>
      <c r="F36" s="11">
        <v>50</v>
      </c>
      <c r="G36" s="12">
        <v>30</v>
      </c>
      <c r="H36" s="11">
        <v>50</v>
      </c>
      <c r="I36" s="12">
        <v>23</v>
      </c>
      <c r="J36" s="11">
        <v>50</v>
      </c>
      <c r="K36" s="12">
        <v>23</v>
      </c>
      <c r="L36" s="11">
        <v>50</v>
      </c>
      <c r="M36" s="12">
        <v>24</v>
      </c>
      <c r="N36" s="13"/>
      <c r="O36" s="13"/>
      <c r="P36" s="13"/>
      <c r="Q36" s="13"/>
      <c r="R36" s="14">
        <v>200</v>
      </c>
      <c r="S36" s="43">
        <f t="shared" ref="S36:S39" si="24">G36+I36+K36+M36</f>
        <v>100</v>
      </c>
      <c r="T36" s="15">
        <v>50</v>
      </c>
      <c r="U36" s="16">
        <v>30</v>
      </c>
      <c r="V36" s="15">
        <v>50</v>
      </c>
      <c r="W36" s="16">
        <v>40</v>
      </c>
      <c r="X36" s="15">
        <v>50</v>
      </c>
      <c r="Y36" s="16">
        <v>26</v>
      </c>
      <c r="Z36" s="15">
        <v>50</v>
      </c>
      <c r="AA36" s="16">
        <v>30</v>
      </c>
      <c r="AB36" s="13"/>
      <c r="AC36" s="13"/>
      <c r="AD36" s="13"/>
      <c r="AE36" s="13"/>
      <c r="AF36" s="17">
        <v>200</v>
      </c>
      <c r="AG36" s="47">
        <f t="shared" si="19"/>
        <v>126</v>
      </c>
      <c r="AH36" s="18">
        <v>400</v>
      </c>
      <c r="AI36" s="18">
        <f t="shared" ref="AI36:AI39" si="25">S36+AG36</f>
        <v>226</v>
      </c>
      <c r="AJ36" s="19">
        <f t="shared" si="21"/>
        <v>56.499999999999993</v>
      </c>
      <c r="AK36" s="20" t="str">
        <f t="shared" si="22"/>
        <v>C</v>
      </c>
      <c r="AL36" s="20" t="str">
        <f t="shared" si="23"/>
        <v>Pass</v>
      </c>
    </row>
    <row r="37" spans="1:38" ht="15" customHeight="1" x14ac:dyDescent="0.3">
      <c r="A37" s="21" t="s">
        <v>85</v>
      </c>
      <c r="B37" s="22" t="s">
        <v>100</v>
      </c>
      <c r="C37" s="22" t="s">
        <v>101</v>
      </c>
      <c r="D37" s="21" t="s">
        <v>102</v>
      </c>
      <c r="E37" s="21">
        <v>6</v>
      </c>
      <c r="F37" s="11">
        <v>50</v>
      </c>
      <c r="G37" s="12">
        <v>33</v>
      </c>
      <c r="H37" s="11">
        <v>50</v>
      </c>
      <c r="I37" s="12">
        <v>32</v>
      </c>
      <c r="J37" s="11">
        <v>50</v>
      </c>
      <c r="K37" s="12">
        <v>20</v>
      </c>
      <c r="L37" s="11">
        <v>50</v>
      </c>
      <c r="M37" s="12">
        <v>28</v>
      </c>
      <c r="N37" s="13"/>
      <c r="O37" s="13"/>
      <c r="P37" s="13"/>
      <c r="Q37" s="13"/>
      <c r="R37" s="14">
        <v>200</v>
      </c>
      <c r="S37" s="43">
        <f t="shared" si="24"/>
        <v>113</v>
      </c>
      <c r="T37" s="15">
        <v>50</v>
      </c>
      <c r="U37" s="16">
        <v>27</v>
      </c>
      <c r="V37" s="15">
        <v>50</v>
      </c>
      <c r="W37" s="16">
        <v>30</v>
      </c>
      <c r="X37" s="15">
        <v>50</v>
      </c>
      <c r="Y37" s="16">
        <v>22</v>
      </c>
      <c r="Z37" s="15">
        <v>50</v>
      </c>
      <c r="AA37" s="16">
        <v>30</v>
      </c>
      <c r="AB37" s="13"/>
      <c r="AC37" s="13"/>
      <c r="AD37" s="13"/>
      <c r="AE37" s="13"/>
      <c r="AF37" s="17">
        <v>200</v>
      </c>
      <c r="AG37" s="47">
        <f t="shared" si="19"/>
        <v>109</v>
      </c>
      <c r="AH37" s="18">
        <v>400</v>
      </c>
      <c r="AI37" s="18">
        <f t="shared" si="25"/>
        <v>222</v>
      </c>
      <c r="AJ37" s="19">
        <f t="shared" si="21"/>
        <v>55.500000000000007</v>
      </c>
      <c r="AK37" s="20" t="str">
        <f t="shared" si="22"/>
        <v>C</v>
      </c>
      <c r="AL37" s="20" t="str">
        <f t="shared" si="23"/>
        <v>Pass</v>
      </c>
    </row>
    <row r="38" spans="1:38" ht="15" customHeight="1" x14ac:dyDescent="0.3">
      <c r="A38" s="9" t="s">
        <v>85</v>
      </c>
      <c r="B38" s="10" t="s">
        <v>103</v>
      </c>
      <c r="C38" s="10" t="s">
        <v>104</v>
      </c>
      <c r="D38" s="9" t="s">
        <v>105</v>
      </c>
      <c r="E38" s="9">
        <v>7</v>
      </c>
      <c r="F38" s="11">
        <v>50</v>
      </c>
      <c r="G38" s="12">
        <v>30</v>
      </c>
      <c r="H38" s="11">
        <v>50</v>
      </c>
      <c r="I38" s="12">
        <v>34</v>
      </c>
      <c r="J38" s="11">
        <v>50</v>
      </c>
      <c r="K38" s="12">
        <v>22</v>
      </c>
      <c r="L38" s="11">
        <v>50</v>
      </c>
      <c r="M38" s="12">
        <v>24</v>
      </c>
      <c r="N38" s="13"/>
      <c r="O38" s="13"/>
      <c r="P38" s="13"/>
      <c r="Q38" s="13"/>
      <c r="R38" s="14">
        <v>200</v>
      </c>
      <c r="S38" s="43">
        <f t="shared" si="24"/>
        <v>110</v>
      </c>
      <c r="T38" s="15">
        <v>50</v>
      </c>
      <c r="U38" s="16">
        <v>27</v>
      </c>
      <c r="V38" s="15">
        <v>50</v>
      </c>
      <c r="W38" s="16">
        <v>45</v>
      </c>
      <c r="X38" s="15">
        <v>50</v>
      </c>
      <c r="Y38" s="16">
        <v>30</v>
      </c>
      <c r="Z38" s="15">
        <v>50</v>
      </c>
      <c r="AA38" s="16">
        <v>40</v>
      </c>
      <c r="AB38" s="13"/>
      <c r="AC38" s="13"/>
      <c r="AD38" s="13"/>
      <c r="AE38" s="13"/>
      <c r="AF38" s="17">
        <v>200</v>
      </c>
      <c r="AG38" s="47">
        <f t="shared" si="19"/>
        <v>142</v>
      </c>
      <c r="AH38" s="18">
        <v>400</v>
      </c>
      <c r="AI38" s="18">
        <f t="shared" si="25"/>
        <v>252</v>
      </c>
      <c r="AJ38" s="19">
        <f t="shared" si="21"/>
        <v>63</v>
      </c>
      <c r="AK38" s="20" t="str">
        <f t="shared" si="22"/>
        <v>B</v>
      </c>
      <c r="AL38" s="20" t="str">
        <f t="shared" si="23"/>
        <v>Pass</v>
      </c>
    </row>
    <row r="39" spans="1:38" ht="15" customHeight="1" x14ac:dyDescent="0.3">
      <c r="A39" s="21" t="s">
        <v>85</v>
      </c>
      <c r="B39" s="22" t="s">
        <v>106</v>
      </c>
      <c r="C39" s="22" t="s">
        <v>107</v>
      </c>
      <c r="D39" s="21" t="s">
        <v>108</v>
      </c>
      <c r="E39" s="21">
        <v>8</v>
      </c>
      <c r="F39" s="11">
        <v>50</v>
      </c>
      <c r="G39" s="12">
        <v>27</v>
      </c>
      <c r="H39" s="11">
        <v>50</v>
      </c>
      <c r="I39" s="12">
        <v>38</v>
      </c>
      <c r="J39" s="11">
        <v>50</v>
      </c>
      <c r="K39" s="12">
        <v>26</v>
      </c>
      <c r="L39" s="11">
        <v>50</v>
      </c>
      <c r="M39" s="12">
        <v>24</v>
      </c>
      <c r="N39" s="13"/>
      <c r="O39" s="13"/>
      <c r="P39" s="13"/>
      <c r="Q39" s="13"/>
      <c r="R39" s="14">
        <v>200</v>
      </c>
      <c r="S39" s="43">
        <f t="shared" si="24"/>
        <v>115</v>
      </c>
      <c r="T39" s="15">
        <v>50</v>
      </c>
      <c r="U39" s="16">
        <v>32</v>
      </c>
      <c r="V39" s="15">
        <v>50</v>
      </c>
      <c r="W39" s="16">
        <v>40</v>
      </c>
      <c r="X39" s="15">
        <v>50</v>
      </c>
      <c r="Y39" s="16">
        <v>30</v>
      </c>
      <c r="Z39" s="15">
        <v>50</v>
      </c>
      <c r="AA39" s="16">
        <v>40</v>
      </c>
      <c r="AB39" s="13"/>
      <c r="AC39" s="13"/>
      <c r="AD39" s="13"/>
      <c r="AE39" s="13"/>
      <c r="AF39" s="17">
        <v>200</v>
      </c>
      <c r="AG39" s="47">
        <f t="shared" si="19"/>
        <v>142</v>
      </c>
      <c r="AH39" s="18">
        <v>400</v>
      </c>
      <c r="AI39" s="18">
        <f t="shared" si="25"/>
        <v>257</v>
      </c>
      <c r="AJ39" s="19">
        <f t="shared" si="21"/>
        <v>64.25</v>
      </c>
      <c r="AK39" s="20" t="str">
        <f t="shared" si="22"/>
        <v>B</v>
      </c>
      <c r="AL39" s="20" t="str">
        <f t="shared" si="23"/>
        <v>Pass</v>
      </c>
    </row>
    <row r="40" spans="1:38" ht="15" customHeight="1" x14ac:dyDescent="0.3">
      <c r="A40" s="9" t="s">
        <v>85</v>
      </c>
      <c r="B40" s="10" t="s">
        <v>264</v>
      </c>
      <c r="C40" s="10" t="s">
        <v>265</v>
      </c>
      <c r="D40" s="9" t="s">
        <v>266</v>
      </c>
      <c r="E40" s="9">
        <v>9</v>
      </c>
      <c r="F40" s="37" t="s">
        <v>96</v>
      </c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9"/>
      <c r="R40" s="24">
        <v>0</v>
      </c>
      <c r="S40" s="45">
        <v>0</v>
      </c>
      <c r="T40" s="37" t="s">
        <v>96</v>
      </c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9"/>
      <c r="AF40" s="24">
        <v>0</v>
      </c>
      <c r="AG40" s="45">
        <v>0</v>
      </c>
      <c r="AH40" s="18">
        <v>400</v>
      </c>
      <c r="AI40" s="18">
        <f>AG40</f>
        <v>0</v>
      </c>
      <c r="AJ40" s="19">
        <f t="shared" si="21"/>
        <v>0</v>
      </c>
      <c r="AK40" s="20" t="str">
        <f t="shared" si="22"/>
        <v>E</v>
      </c>
      <c r="AL40" s="20" t="str">
        <f t="shared" si="23"/>
        <v>Fail</v>
      </c>
    </row>
    <row r="41" spans="1:38" ht="15" customHeight="1" x14ac:dyDescent="0.3">
      <c r="A41" s="21" t="s">
        <v>85</v>
      </c>
      <c r="B41" s="22" t="s">
        <v>109</v>
      </c>
      <c r="C41" s="22" t="s">
        <v>110</v>
      </c>
      <c r="D41" s="21" t="s">
        <v>111</v>
      </c>
      <c r="E41" s="21">
        <v>10</v>
      </c>
      <c r="F41" s="11">
        <v>50</v>
      </c>
      <c r="G41" s="12">
        <v>42</v>
      </c>
      <c r="H41" s="11">
        <v>50</v>
      </c>
      <c r="I41" s="12">
        <v>44</v>
      </c>
      <c r="J41" s="11">
        <v>50</v>
      </c>
      <c r="K41" s="12">
        <v>38</v>
      </c>
      <c r="L41" s="11">
        <v>50</v>
      </c>
      <c r="M41" s="12">
        <v>43</v>
      </c>
      <c r="N41" s="13"/>
      <c r="O41" s="13"/>
      <c r="P41" s="13"/>
      <c r="Q41" s="13"/>
      <c r="R41" s="14">
        <v>200</v>
      </c>
      <c r="S41" s="43">
        <f t="shared" ref="S41:S42" si="26">G41+I41+K41+M41</f>
        <v>167</v>
      </c>
      <c r="T41" s="15">
        <v>50</v>
      </c>
      <c r="U41" s="16">
        <v>45</v>
      </c>
      <c r="V41" s="15">
        <v>50</v>
      </c>
      <c r="W41" s="16">
        <v>40</v>
      </c>
      <c r="X41" s="15">
        <v>50</v>
      </c>
      <c r="Y41" s="16">
        <v>44</v>
      </c>
      <c r="Z41" s="15">
        <v>50</v>
      </c>
      <c r="AA41" s="16">
        <v>37</v>
      </c>
      <c r="AB41" s="13"/>
      <c r="AC41" s="13"/>
      <c r="AD41" s="13"/>
      <c r="AE41" s="13"/>
      <c r="AF41" s="17">
        <v>200</v>
      </c>
      <c r="AG41" s="47">
        <f t="shared" ref="AG41:AG42" si="27">U41+W41+Y41+AA41</f>
        <v>166</v>
      </c>
      <c r="AH41" s="18">
        <v>400</v>
      </c>
      <c r="AI41" s="18">
        <f t="shared" ref="AI41:AI42" si="28">S41+AG41</f>
        <v>333</v>
      </c>
      <c r="AJ41" s="19">
        <f t="shared" si="21"/>
        <v>83.25</v>
      </c>
      <c r="AK41" s="20" t="str">
        <f t="shared" si="22"/>
        <v>A</v>
      </c>
      <c r="AL41" s="20" t="str">
        <f t="shared" si="23"/>
        <v>Pass</v>
      </c>
    </row>
    <row r="42" spans="1:38" ht="14.4" x14ac:dyDescent="0.3">
      <c r="A42" s="9" t="s">
        <v>85</v>
      </c>
      <c r="B42" s="10" t="s">
        <v>112</v>
      </c>
      <c r="C42" s="10" t="s">
        <v>113</v>
      </c>
      <c r="D42" s="9" t="s">
        <v>114</v>
      </c>
      <c r="E42" s="9">
        <v>11</v>
      </c>
      <c r="F42" s="11">
        <v>50</v>
      </c>
      <c r="G42" s="12">
        <v>24</v>
      </c>
      <c r="H42" s="11">
        <v>50</v>
      </c>
      <c r="I42" s="12">
        <v>26</v>
      </c>
      <c r="J42" s="11">
        <v>50</v>
      </c>
      <c r="K42" s="12">
        <v>23</v>
      </c>
      <c r="L42" s="11">
        <v>50</v>
      </c>
      <c r="M42" s="12">
        <v>20</v>
      </c>
      <c r="N42" s="13"/>
      <c r="O42" s="13"/>
      <c r="P42" s="13"/>
      <c r="Q42" s="13"/>
      <c r="R42" s="14">
        <v>200</v>
      </c>
      <c r="S42" s="43">
        <f t="shared" si="26"/>
        <v>93</v>
      </c>
      <c r="T42" s="15">
        <v>50</v>
      </c>
      <c r="U42" s="16">
        <v>0</v>
      </c>
      <c r="V42" s="15">
        <v>50</v>
      </c>
      <c r="W42" s="16">
        <v>0</v>
      </c>
      <c r="X42" s="15">
        <v>50</v>
      </c>
      <c r="Y42" s="16">
        <v>0</v>
      </c>
      <c r="Z42" s="15">
        <v>50</v>
      </c>
      <c r="AA42" s="16">
        <v>28</v>
      </c>
      <c r="AB42" s="13"/>
      <c r="AC42" s="13"/>
      <c r="AD42" s="13"/>
      <c r="AE42" s="13"/>
      <c r="AF42" s="17">
        <v>200</v>
      </c>
      <c r="AG42" s="47">
        <f t="shared" si="27"/>
        <v>28</v>
      </c>
      <c r="AH42" s="18">
        <v>400</v>
      </c>
      <c r="AI42" s="18">
        <f t="shared" si="28"/>
        <v>121</v>
      </c>
      <c r="AJ42" s="19">
        <f t="shared" si="21"/>
        <v>30.25</v>
      </c>
      <c r="AK42" s="20" t="str">
        <f t="shared" si="22"/>
        <v>E</v>
      </c>
      <c r="AL42" s="20" t="str">
        <f t="shared" si="23"/>
        <v>Fail</v>
      </c>
    </row>
    <row r="43" spans="1:38" ht="16.05" customHeight="1" x14ac:dyDescent="0.45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44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44"/>
      <c r="AH43" s="23"/>
      <c r="AI43" s="23"/>
      <c r="AJ43" s="23"/>
      <c r="AK43" s="23"/>
      <c r="AL43" s="23"/>
    </row>
    <row r="44" spans="1:38" ht="15" customHeight="1" x14ac:dyDescent="0.3">
      <c r="A44" s="8" t="s">
        <v>115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42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42"/>
      <c r="AH44" s="8"/>
      <c r="AI44" s="8"/>
      <c r="AJ44" s="8"/>
      <c r="AK44" s="8"/>
      <c r="AL44" s="8"/>
    </row>
    <row r="45" spans="1:38" ht="15" customHeight="1" x14ac:dyDescent="0.3">
      <c r="A45" s="21" t="s">
        <v>116</v>
      </c>
      <c r="B45" s="22" t="s">
        <v>117</v>
      </c>
      <c r="C45" s="22" t="s">
        <v>87</v>
      </c>
      <c r="D45" s="21" t="s">
        <v>118</v>
      </c>
      <c r="E45" s="21">
        <v>1</v>
      </c>
      <c r="F45" s="11">
        <v>50</v>
      </c>
      <c r="G45" s="12">
        <v>38</v>
      </c>
      <c r="H45" s="11">
        <v>50</v>
      </c>
      <c r="I45" s="12">
        <v>43</v>
      </c>
      <c r="J45" s="11">
        <v>50</v>
      </c>
      <c r="K45" s="12">
        <v>37</v>
      </c>
      <c r="L45" s="11">
        <v>50</v>
      </c>
      <c r="M45" s="12">
        <v>40</v>
      </c>
      <c r="N45" s="13"/>
      <c r="O45" s="13"/>
      <c r="P45" s="13"/>
      <c r="Q45" s="13"/>
      <c r="R45" s="14">
        <v>200</v>
      </c>
      <c r="S45" s="43">
        <f t="shared" ref="S45:S52" si="29">G45+I45+K45+M45</f>
        <v>158</v>
      </c>
      <c r="T45" s="15">
        <v>50</v>
      </c>
      <c r="U45" s="16">
        <v>43</v>
      </c>
      <c r="V45" s="15">
        <v>50</v>
      </c>
      <c r="W45" s="16">
        <v>46</v>
      </c>
      <c r="X45" s="15">
        <v>50</v>
      </c>
      <c r="Y45" s="16">
        <v>42</v>
      </c>
      <c r="Z45" s="15">
        <v>50</v>
      </c>
      <c r="AA45" s="16">
        <v>44</v>
      </c>
      <c r="AB45" s="13"/>
      <c r="AC45" s="13"/>
      <c r="AD45" s="13"/>
      <c r="AE45" s="13"/>
      <c r="AF45" s="17">
        <v>200</v>
      </c>
      <c r="AG45" s="47">
        <f t="shared" ref="AG45:AG52" si="30">U45+W45+Y45+AA45</f>
        <v>175</v>
      </c>
      <c r="AH45" s="18">
        <v>400</v>
      </c>
      <c r="AI45" s="18">
        <f t="shared" ref="AI45:AI52" si="31">S45+AG45</f>
        <v>333</v>
      </c>
      <c r="AJ45" s="19">
        <f t="shared" ref="AJ45:AJ52" si="32">IF(AH45&gt;0,AI45/AH45*100,0)</f>
        <v>83.25</v>
      </c>
      <c r="AK45" s="20" t="str">
        <f t="shared" ref="AK45:AK52" si="33">IF(AJ45&gt;=81,"A",IF(AJ45&gt;=61,"B",IF(AJ45&gt;=41,"C",IF(AJ45&gt;=33,"D","E"))))</f>
        <v>A</v>
      </c>
      <c r="AL45" s="20" t="str">
        <f t="shared" ref="AL45:AL52" si="34">IF(AK45="E","Fail","Pass")</f>
        <v>Pass</v>
      </c>
    </row>
    <row r="46" spans="1:38" ht="15" customHeight="1" x14ac:dyDescent="0.3">
      <c r="A46" s="9" t="s">
        <v>116</v>
      </c>
      <c r="B46" s="10" t="s">
        <v>119</v>
      </c>
      <c r="C46" s="10" t="s">
        <v>120</v>
      </c>
      <c r="D46" s="9" t="s">
        <v>121</v>
      </c>
      <c r="E46" s="9">
        <v>2</v>
      </c>
      <c r="F46" s="11">
        <v>50</v>
      </c>
      <c r="G46" s="12">
        <v>38</v>
      </c>
      <c r="H46" s="11">
        <v>50</v>
      </c>
      <c r="I46" s="12">
        <v>38</v>
      </c>
      <c r="J46" s="11">
        <v>50</v>
      </c>
      <c r="K46" s="12">
        <v>29</v>
      </c>
      <c r="L46" s="11">
        <v>50</v>
      </c>
      <c r="M46" s="12">
        <v>37</v>
      </c>
      <c r="N46" s="13"/>
      <c r="O46" s="13"/>
      <c r="P46" s="13"/>
      <c r="Q46" s="13"/>
      <c r="R46" s="14">
        <v>200</v>
      </c>
      <c r="S46" s="43">
        <f t="shared" si="29"/>
        <v>142</v>
      </c>
      <c r="T46" s="15">
        <v>50</v>
      </c>
      <c r="U46" s="16">
        <v>46</v>
      </c>
      <c r="V46" s="15">
        <v>50</v>
      </c>
      <c r="W46" s="16">
        <v>43</v>
      </c>
      <c r="X46" s="15">
        <v>50</v>
      </c>
      <c r="Y46" s="16">
        <v>42</v>
      </c>
      <c r="Z46" s="15">
        <v>50</v>
      </c>
      <c r="AA46" s="16">
        <v>40</v>
      </c>
      <c r="AB46" s="13"/>
      <c r="AC46" s="13"/>
      <c r="AD46" s="13"/>
      <c r="AE46" s="13"/>
      <c r="AF46" s="17">
        <v>200</v>
      </c>
      <c r="AG46" s="47">
        <f t="shared" si="30"/>
        <v>171</v>
      </c>
      <c r="AH46" s="18">
        <v>400</v>
      </c>
      <c r="AI46" s="18">
        <f t="shared" si="31"/>
        <v>313</v>
      </c>
      <c r="AJ46" s="19">
        <f t="shared" si="32"/>
        <v>78.25</v>
      </c>
      <c r="AK46" s="20" t="str">
        <f t="shared" si="33"/>
        <v>B</v>
      </c>
      <c r="AL46" s="20" t="str">
        <f t="shared" si="34"/>
        <v>Pass</v>
      </c>
    </row>
    <row r="47" spans="1:38" ht="15" customHeight="1" x14ac:dyDescent="0.3">
      <c r="A47" s="21" t="s">
        <v>116</v>
      </c>
      <c r="B47" s="22" t="s">
        <v>122</v>
      </c>
      <c r="C47" s="22" t="s">
        <v>123</v>
      </c>
      <c r="D47" s="21" t="s">
        <v>124</v>
      </c>
      <c r="E47" s="21">
        <v>3</v>
      </c>
      <c r="F47" s="11">
        <v>50</v>
      </c>
      <c r="G47" s="12">
        <v>36</v>
      </c>
      <c r="H47" s="11">
        <v>50</v>
      </c>
      <c r="I47" s="12">
        <v>37</v>
      </c>
      <c r="J47" s="11">
        <v>50</v>
      </c>
      <c r="K47" s="12">
        <v>17</v>
      </c>
      <c r="L47" s="11">
        <v>50</v>
      </c>
      <c r="M47" s="12">
        <v>35</v>
      </c>
      <c r="N47" s="13"/>
      <c r="O47" s="13"/>
      <c r="P47" s="13"/>
      <c r="Q47" s="13"/>
      <c r="R47" s="14">
        <v>200</v>
      </c>
      <c r="S47" s="43">
        <f t="shared" si="29"/>
        <v>125</v>
      </c>
      <c r="T47" s="15">
        <v>50</v>
      </c>
      <c r="U47" s="16">
        <v>38</v>
      </c>
      <c r="V47" s="15">
        <v>50</v>
      </c>
      <c r="W47" s="16">
        <v>31</v>
      </c>
      <c r="X47" s="15">
        <v>50</v>
      </c>
      <c r="Y47" s="16">
        <v>36</v>
      </c>
      <c r="Z47" s="15">
        <v>50</v>
      </c>
      <c r="AA47" s="16">
        <v>38</v>
      </c>
      <c r="AB47" s="13"/>
      <c r="AC47" s="13"/>
      <c r="AD47" s="13"/>
      <c r="AE47" s="13"/>
      <c r="AF47" s="17">
        <v>200</v>
      </c>
      <c r="AG47" s="47">
        <f t="shared" si="30"/>
        <v>143</v>
      </c>
      <c r="AH47" s="18">
        <v>400</v>
      </c>
      <c r="AI47" s="18">
        <f t="shared" si="31"/>
        <v>268</v>
      </c>
      <c r="AJ47" s="19">
        <f t="shared" si="32"/>
        <v>67</v>
      </c>
      <c r="AK47" s="20" t="str">
        <f t="shared" si="33"/>
        <v>B</v>
      </c>
      <c r="AL47" s="20" t="str">
        <f t="shared" si="34"/>
        <v>Pass</v>
      </c>
    </row>
    <row r="48" spans="1:38" ht="15" customHeight="1" x14ac:dyDescent="0.3">
      <c r="A48" s="9" t="s">
        <v>116</v>
      </c>
      <c r="B48" s="10" t="s">
        <v>125</v>
      </c>
      <c r="C48" s="10" t="s">
        <v>52</v>
      </c>
      <c r="D48" s="9" t="s">
        <v>126</v>
      </c>
      <c r="E48" s="9">
        <v>4</v>
      </c>
      <c r="F48" s="11">
        <v>50</v>
      </c>
      <c r="G48" s="12">
        <v>41</v>
      </c>
      <c r="H48" s="11">
        <v>50</v>
      </c>
      <c r="I48" s="12">
        <v>33</v>
      </c>
      <c r="J48" s="11">
        <v>50</v>
      </c>
      <c r="K48" s="12">
        <v>36</v>
      </c>
      <c r="L48" s="11">
        <v>50</v>
      </c>
      <c r="M48" s="12">
        <v>30</v>
      </c>
      <c r="N48" s="13"/>
      <c r="O48" s="13"/>
      <c r="P48" s="13"/>
      <c r="Q48" s="13"/>
      <c r="R48" s="14">
        <v>200</v>
      </c>
      <c r="S48" s="43">
        <f t="shared" si="29"/>
        <v>140</v>
      </c>
      <c r="T48" s="15">
        <v>50</v>
      </c>
      <c r="U48" s="16">
        <v>46</v>
      </c>
      <c r="V48" s="15">
        <v>50</v>
      </c>
      <c r="W48" s="16">
        <v>36</v>
      </c>
      <c r="X48" s="15">
        <v>50</v>
      </c>
      <c r="Y48" s="16">
        <v>39</v>
      </c>
      <c r="Z48" s="15">
        <v>50</v>
      </c>
      <c r="AA48" s="16">
        <v>46</v>
      </c>
      <c r="AB48" s="13"/>
      <c r="AC48" s="13"/>
      <c r="AD48" s="13"/>
      <c r="AE48" s="13"/>
      <c r="AF48" s="17">
        <v>200</v>
      </c>
      <c r="AG48" s="47">
        <f t="shared" si="30"/>
        <v>167</v>
      </c>
      <c r="AH48" s="18">
        <v>400</v>
      </c>
      <c r="AI48" s="18">
        <f t="shared" si="31"/>
        <v>307</v>
      </c>
      <c r="AJ48" s="19">
        <f t="shared" si="32"/>
        <v>76.75</v>
      </c>
      <c r="AK48" s="20" t="str">
        <f t="shared" si="33"/>
        <v>B</v>
      </c>
      <c r="AL48" s="20" t="str">
        <f t="shared" si="34"/>
        <v>Pass</v>
      </c>
    </row>
    <row r="49" spans="1:38" ht="15" customHeight="1" x14ac:dyDescent="0.3">
      <c r="A49" s="21" t="s">
        <v>116</v>
      </c>
      <c r="B49" s="22" t="s">
        <v>127</v>
      </c>
      <c r="C49" s="22" t="s">
        <v>128</v>
      </c>
      <c r="D49" s="21" t="s">
        <v>129</v>
      </c>
      <c r="E49" s="21">
        <v>5</v>
      </c>
      <c r="F49" s="11">
        <v>50</v>
      </c>
      <c r="G49" s="12">
        <v>37</v>
      </c>
      <c r="H49" s="11">
        <v>50</v>
      </c>
      <c r="I49" s="12">
        <v>33</v>
      </c>
      <c r="J49" s="11">
        <v>50</v>
      </c>
      <c r="K49" s="12">
        <v>35</v>
      </c>
      <c r="L49" s="11">
        <v>50</v>
      </c>
      <c r="M49" s="12">
        <v>35</v>
      </c>
      <c r="N49" s="13"/>
      <c r="O49" s="13"/>
      <c r="P49" s="13"/>
      <c r="Q49" s="13"/>
      <c r="R49" s="14">
        <v>200</v>
      </c>
      <c r="S49" s="43">
        <f t="shared" si="29"/>
        <v>140</v>
      </c>
      <c r="T49" s="15">
        <v>50</v>
      </c>
      <c r="U49" s="16">
        <v>36</v>
      </c>
      <c r="V49" s="15">
        <v>50</v>
      </c>
      <c r="W49" s="16">
        <v>43</v>
      </c>
      <c r="X49" s="15">
        <v>50</v>
      </c>
      <c r="Y49" s="16">
        <v>32</v>
      </c>
      <c r="Z49" s="15">
        <v>50</v>
      </c>
      <c r="AA49" s="16">
        <v>39</v>
      </c>
      <c r="AB49" s="13"/>
      <c r="AC49" s="13"/>
      <c r="AD49" s="13"/>
      <c r="AE49" s="13"/>
      <c r="AF49" s="17">
        <v>200</v>
      </c>
      <c r="AG49" s="47">
        <f t="shared" si="30"/>
        <v>150</v>
      </c>
      <c r="AH49" s="18">
        <v>400</v>
      </c>
      <c r="AI49" s="18">
        <f t="shared" si="31"/>
        <v>290</v>
      </c>
      <c r="AJ49" s="19">
        <f t="shared" si="32"/>
        <v>72.5</v>
      </c>
      <c r="AK49" s="20" t="str">
        <f t="shared" si="33"/>
        <v>B</v>
      </c>
      <c r="AL49" s="20" t="str">
        <f t="shared" si="34"/>
        <v>Pass</v>
      </c>
    </row>
    <row r="50" spans="1:38" ht="15" customHeight="1" x14ac:dyDescent="0.3">
      <c r="A50" s="9" t="s">
        <v>116</v>
      </c>
      <c r="B50" s="10" t="s">
        <v>33</v>
      </c>
      <c r="C50" s="10" t="s">
        <v>55</v>
      </c>
      <c r="D50" s="9" t="s">
        <v>130</v>
      </c>
      <c r="E50" s="9">
        <v>6</v>
      </c>
      <c r="F50" s="11">
        <v>50</v>
      </c>
      <c r="G50" s="12">
        <v>34</v>
      </c>
      <c r="H50" s="11">
        <v>50</v>
      </c>
      <c r="I50" s="12">
        <v>38</v>
      </c>
      <c r="J50" s="11">
        <v>50</v>
      </c>
      <c r="K50" s="12">
        <v>34</v>
      </c>
      <c r="L50" s="11">
        <v>50</v>
      </c>
      <c r="M50" s="12">
        <v>31</v>
      </c>
      <c r="N50" s="13"/>
      <c r="O50" s="13"/>
      <c r="P50" s="13"/>
      <c r="Q50" s="13"/>
      <c r="R50" s="14">
        <v>200</v>
      </c>
      <c r="S50" s="43">
        <f t="shared" si="29"/>
        <v>137</v>
      </c>
      <c r="T50" s="15">
        <v>50</v>
      </c>
      <c r="U50" s="16">
        <v>40</v>
      </c>
      <c r="V50" s="15">
        <v>50</v>
      </c>
      <c r="W50" s="16">
        <v>29</v>
      </c>
      <c r="X50" s="15">
        <v>50</v>
      </c>
      <c r="Y50" s="16">
        <v>38</v>
      </c>
      <c r="Z50" s="15">
        <v>50</v>
      </c>
      <c r="AA50" s="16">
        <v>42</v>
      </c>
      <c r="AB50" s="13"/>
      <c r="AC50" s="13"/>
      <c r="AD50" s="13"/>
      <c r="AE50" s="13"/>
      <c r="AF50" s="17">
        <v>200</v>
      </c>
      <c r="AG50" s="47">
        <f t="shared" si="30"/>
        <v>149</v>
      </c>
      <c r="AH50" s="18">
        <v>400</v>
      </c>
      <c r="AI50" s="18">
        <f t="shared" si="31"/>
        <v>286</v>
      </c>
      <c r="AJ50" s="19">
        <f t="shared" si="32"/>
        <v>71.5</v>
      </c>
      <c r="AK50" s="20" t="str">
        <f t="shared" si="33"/>
        <v>B</v>
      </c>
      <c r="AL50" s="20" t="str">
        <f t="shared" si="34"/>
        <v>Pass</v>
      </c>
    </row>
    <row r="51" spans="1:38" ht="15" customHeight="1" x14ac:dyDescent="0.3">
      <c r="A51" s="21" t="s">
        <v>116</v>
      </c>
      <c r="B51" s="22" t="s">
        <v>131</v>
      </c>
      <c r="C51" s="22" t="s">
        <v>104</v>
      </c>
      <c r="D51" s="21" t="s">
        <v>132</v>
      </c>
      <c r="E51" s="21">
        <v>7</v>
      </c>
      <c r="F51" s="11">
        <v>50</v>
      </c>
      <c r="G51" s="12">
        <v>37</v>
      </c>
      <c r="H51" s="11">
        <v>50</v>
      </c>
      <c r="I51" s="12">
        <v>33</v>
      </c>
      <c r="J51" s="11">
        <v>50</v>
      </c>
      <c r="K51" s="12">
        <v>33</v>
      </c>
      <c r="L51" s="11">
        <v>50</v>
      </c>
      <c r="M51" s="12">
        <v>35</v>
      </c>
      <c r="N51" s="13"/>
      <c r="O51" s="13"/>
      <c r="P51" s="13"/>
      <c r="Q51" s="13"/>
      <c r="R51" s="14">
        <v>200</v>
      </c>
      <c r="S51" s="43">
        <f t="shared" si="29"/>
        <v>138</v>
      </c>
      <c r="T51" s="15">
        <v>50</v>
      </c>
      <c r="U51" s="16">
        <v>31</v>
      </c>
      <c r="V51" s="15">
        <v>50</v>
      </c>
      <c r="W51" s="16">
        <v>25</v>
      </c>
      <c r="X51" s="15">
        <v>50</v>
      </c>
      <c r="Y51" s="16">
        <v>25</v>
      </c>
      <c r="Z51" s="15">
        <v>50</v>
      </c>
      <c r="AA51" s="16">
        <v>37</v>
      </c>
      <c r="AB51" s="13"/>
      <c r="AC51" s="13"/>
      <c r="AD51" s="13"/>
      <c r="AE51" s="13"/>
      <c r="AF51" s="17">
        <v>200</v>
      </c>
      <c r="AG51" s="47">
        <f t="shared" si="30"/>
        <v>118</v>
      </c>
      <c r="AH51" s="18">
        <v>400</v>
      </c>
      <c r="AI51" s="18">
        <f t="shared" si="31"/>
        <v>256</v>
      </c>
      <c r="AJ51" s="19">
        <f t="shared" si="32"/>
        <v>64</v>
      </c>
      <c r="AK51" s="20" t="str">
        <f t="shared" si="33"/>
        <v>B</v>
      </c>
      <c r="AL51" s="20" t="str">
        <f t="shared" si="34"/>
        <v>Pass</v>
      </c>
    </row>
    <row r="52" spans="1:38" ht="14.4" x14ac:dyDescent="0.3">
      <c r="A52" s="9" t="s">
        <v>116</v>
      </c>
      <c r="B52" s="10" t="s">
        <v>133</v>
      </c>
      <c r="C52" s="10" t="s">
        <v>34</v>
      </c>
      <c r="D52" s="9" t="s">
        <v>134</v>
      </c>
      <c r="E52" s="9">
        <v>8</v>
      </c>
      <c r="F52" s="11">
        <v>50</v>
      </c>
      <c r="G52" s="12">
        <v>34</v>
      </c>
      <c r="H52" s="11">
        <v>50</v>
      </c>
      <c r="I52" s="12">
        <v>25</v>
      </c>
      <c r="J52" s="11">
        <v>50</v>
      </c>
      <c r="K52" s="12">
        <v>34</v>
      </c>
      <c r="L52" s="11">
        <v>50</v>
      </c>
      <c r="M52" s="12">
        <v>20</v>
      </c>
      <c r="N52" s="13"/>
      <c r="O52" s="13"/>
      <c r="P52" s="13"/>
      <c r="Q52" s="13"/>
      <c r="R52" s="14">
        <v>200</v>
      </c>
      <c r="S52" s="43">
        <f t="shared" si="29"/>
        <v>113</v>
      </c>
      <c r="T52" s="15">
        <v>50</v>
      </c>
      <c r="U52" s="16">
        <v>25</v>
      </c>
      <c r="V52" s="15">
        <v>50</v>
      </c>
      <c r="W52" s="16">
        <v>22</v>
      </c>
      <c r="X52" s="15">
        <v>50</v>
      </c>
      <c r="Y52" s="16">
        <v>22</v>
      </c>
      <c r="Z52" s="15">
        <v>50</v>
      </c>
      <c r="AA52" s="16">
        <v>23</v>
      </c>
      <c r="AB52" s="13"/>
      <c r="AC52" s="13"/>
      <c r="AD52" s="13"/>
      <c r="AE52" s="13"/>
      <c r="AF52" s="17">
        <v>200</v>
      </c>
      <c r="AG52" s="47">
        <f t="shared" si="30"/>
        <v>92</v>
      </c>
      <c r="AH52" s="18">
        <v>400</v>
      </c>
      <c r="AI52" s="18">
        <f t="shared" si="31"/>
        <v>205</v>
      </c>
      <c r="AJ52" s="19">
        <f t="shared" si="32"/>
        <v>51.249999999999993</v>
      </c>
      <c r="AK52" s="20" t="str">
        <f t="shared" si="33"/>
        <v>C</v>
      </c>
      <c r="AL52" s="20" t="str">
        <f t="shared" si="34"/>
        <v>Pass</v>
      </c>
    </row>
    <row r="53" spans="1:38" ht="16.05" customHeight="1" x14ac:dyDescent="0.45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44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44"/>
      <c r="AH53" s="23"/>
      <c r="AI53" s="23"/>
      <c r="AJ53" s="23"/>
      <c r="AK53" s="23"/>
      <c r="AL53" s="23"/>
    </row>
    <row r="54" spans="1:38" ht="15" customHeight="1" x14ac:dyDescent="0.3">
      <c r="A54" s="8" t="s">
        <v>135</v>
      </c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42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42"/>
      <c r="AH54" s="8"/>
      <c r="AI54" s="8"/>
      <c r="AJ54" s="8"/>
      <c r="AK54" s="8"/>
      <c r="AL54" s="8"/>
    </row>
    <row r="55" spans="1:38" ht="15" customHeight="1" x14ac:dyDescent="0.3">
      <c r="A55" s="21" t="s">
        <v>136</v>
      </c>
      <c r="B55" s="22" t="s">
        <v>137</v>
      </c>
      <c r="C55" s="22" t="s">
        <v>138</v>
      </c>
      <c r="D55" s="21" t="s">
        <v>139</v>
      </c>
      <c r="E55" s="21">
        <v>1</v>
      </c>
      <c r="F55" s="11">
        <v>50</v>
      </c>
      <c r="G55" s="12">
        <v>40</v>
      </c>
      <c r="H55" s="11">
        <v>50</v>
      </c>
      <c r="I55" s="12">
        <v>46</v>
      </c>
      <c r="J55" s="11">
        <v>50</v>
      </c>
      <c r="K55" s="12">
        <v>31</v>
      </c>
      <c r="L55" s="11">
        <v>50</v>
      </c>
      <c r="M55" s="12">
        <v>40</v>
      </c>
      <c r="N55" s="11">
        <v>50</v>
      </c>
      <c r="O55" s="12">
        <v>39</v>
      </c>
      <c r="P55" s="11">
        <v>50</v>
      </c>
      <c r="Q55" s="12">
        <v>32</v>
      </c>
      <c r="R55" s="14">
        <v>300</v>
      </c>
      <c r="S55" s="43">
        <f t="shared" ref="S55:S71" si="35">G55+I55+K55+M55+O55+Q55</f>
        <v>228</v>
      </c>
      <c r="T55" s="15">
        <v>50</v>
      </c>
      <c r="U55" s="16">
        <v>43</v>
      </c>
      <c r="V55" s="15">
        <v>50</v>
      </c>
      <c r="W55" s="16">
        <v>46</v>
      </c>
      <c r="X55" s="15">
        <v>50</v>
      </c>
      <c r="Y55" s="16">
        <v>49</v>
      </c>
      <c r="Z55" s="15">
        <v>50</v>
      </c>
      <c r="AA55" s="16">
        <v>42</v>
      </c>
      <c r="AB55" s="15">
        <v>50</v>
      </c>
      <c r="AC55" s="16">
        <v>44</v>
      </c>
      <c r="AD55" s="15">
        <v>50</v>
      </c>
      <c r="AE55" s="16">
        <v>43</v>
      </c>
      <c r="AF55" s="17">
        <v>300</v>
      </c>
      <c r="AG55" s="47">
        <f t="shared" ref="AG55:AG71" si="36">U55+W55+Y55+AA55+AC55+AE55</f>
        <v>267</v>
      </c>
      <c r="AH55" s="18">
        <v>600</v>
      </c>
      <c r="AI55" s="18">
        <f t="shared" ref="AI55:AI71" si="37">S55+AG55</f>
        <v>495</v>
      </c>
      <c r="AJ55" s="19">
        <f t="shared" ref="AJ55:AJ71" si="38">IF(AH55&gt;0,AI55/AH55*100,0)</f>
        <v>82.5</v>
      </c>
      <c r="AK55" s="20" t="str">
        <f t="shared" ref="AK55:AK71" si="39">IF(AJ55&gt;=81,"A",IF(AJ55&gt;=61,"B",IF(AJ55&gt;=41,"C",IF(AJ55&gt;=33,"D","E"))))</f>
        <v>A</v>
      </c>
      <c r="AL55" s="20" t="str">
        <f t="shared" ref="AL55:AL71" si="40">IF(AK55="E","Fail","Pass")</f>
        <v>Pass</v>
      </c>
    </row>
    <row r="56" spans="1:38" ht="15" customHeight="1" x14ac:dyDescent="0.3">
      <c r="A56" s="9" t="s">
        <v>136</v>
      </c>
      <c r="B56" s="10" t="s">
        <v>140</v>
      </c>
      <c r="C56" s="10" t="s">
        <v>128</v>
      </c>
      <c r="D56" s="9" t="s">
        <v>141</v>
      </c>
      <c r="E56" s="9">
        <v>2</v>
      </c>
      <c r="F56" s="11">
        <v>50</v>
      </c>
      <c r="G56" s="12">
        <v>38</v>
      </c>
      <c r="H56" s="11">
        <v>50</v>
      </c>
      <c r="I56" s="12">
        <v>46</v>
      </c>
      <c r="J56" s="11">
        <v>50</v>
      </c>
      <c r="K56" s="12">
        <v>36</v>
      </c>
      <c r="L56" s="11">
        <v>50</v>
      </c>
      <c r="M56" s="12">
        <v>32</v>
      </c>
      <c r="N56" s="11">
        <v>50</v>
      </c>
      <c r="O56" s="12">
        <v>37</v>
      </c>
      <c r="P56" s="11">
        <v>50</v>
      </c>
      <c r="Q56" s="12">
        <v>40</v>
      </c>
      <c r="R56" s="14">
        <v>300</v>
      </c>
      <c r="S56" s="43">
        <f t="shared" si="35"/>
        <v>229</v>
      </c>
      <c r="T56" s="15">
        <v>50</v>
      </c>
      <c r="U56" s="16">
        <v>44</v>
      </c>
      <c r="V56" s="15">
        <v>50</v>
      </c>
      <c r="W56" s="16">
        <v>46</v>
      </c>
      <c r="X56" s="15">
        <v>50</v>
      </c>
      <c r="Y56" s="16">
        <v>49</v>
      </c>
      <c r="Z56" s="15">
        <v>50</v>
      </c>
      <c r="AA56" s="16">
        <v>43</v>
      </c>
      <c r="AB56" s="15">
        <v>50</v>
      </c>
      <c r="AC56" s="16">
        <v>48</v>
      </c>
      <c r="AD56" s="15">
        <v>50</v>
      </c>
      <c r="AE56" s="16">
        <v>49</v>
      </c>
      <c r="AF56" s="17">
        <v>300</v>
      </c>
      <c r="AG56" s="47">
        <f t="shared" si="36"/>
        <v>279</v>
      </c>
      <c r="AH56" s="18">
        <v>600</v>
      </c>
      <c r="AI56" s="18">
        <f t="shared" si="37"/>
        <v>508</v>
      </c>
      <c r="AJ56" s="19">
        <f t="shared" si="38"/>
        <v>84.666666666666671</v>
      </c>
      <c r="AK56" s="20" t="str">
        <f t="shared" si="39"/>
        <v>A</v>
      </c>
      <c r="AL56" s="20" t="str">
        <f t="shared" si="40"/>
        <v>Pass</v>
      </c>
    </row>
    <row r="57" spans="1:38" ht="15" customHeight="1" x14ac:dyDescent="0.3">
      <c r="A57" s="21" t="s">
        <v>136</v>
      </c>
      <c r="B57" s="22" t="s">
        <v>142</v>
      </c>
      <c r="C57" s="22" t="s">
        <v>120</v>
      </c>
      <c r="D57" s="21" t="s">
        <v>143</v>
      </c>
      <c r="E57" s="21">
        <v>3</v>
      </c>
      <c r="F57" s="11">
        <v>50</v>
      </c>
      <c r="G57" s="12">
        <v>36</v>
      </c>
      <c r="H57" s="11">
        <v>50</v>
      </c>
      <c r="I57" s="12">
        <v>46</v>
      </c>
      <c r="J57" s="11">
        <v>50</v>
      </c>
      <c r="K57" s="12">
        <v>28</v>
      </c>
      <c r="L57" s="11">
        <v>50</v>
      </c>
      <c r="M57" s="12">
        <v>35</v>
      </c>
      <c r="N57" s="11">
        <v>50</v>
      </c>
      <c r="O57" s="12">
        <v>37</v>
      </c>
      <c r="P57" s="11">
        <v>50</v>
      </c>
      <c r="Q57" s="12">
        <v>41</v>
      </c>
      <c r="R57" s="14">
        <v>300</v>
      </c>
      <c r="S57" s="43">
        <f t="shared" si="35"/>
        <v>223</v>
      </c>
      <c r="T57" s="15">
        <v>50</v>
      </c>
      <c r="U57" s="16">
        <v>42</v>
      </c>
      <c r="V57" s="15">
        <v>50</v>
      </c>
      <c r="W57" s="16">
        <v>34</v>
      </c>
      <c r="X57" s="15">
        <v>50</v>
      </c>
      <c r="Y57" s="16">
        <v>48</v>
      </c>
      <c r="Z57" s="15">
        <v>50</v>
      </c>
      <c r="AA57" s="16">
        <v>43</v>
      </c>
      <c r="AB57" s="15">
        <v>50</v>
      </c>
      <c r="AC57" s="16">
        <v>42</v>
      </c>
      <c r="AD57" s="15">
        <v>50</v>
      </c>
      <c r="AE57" s="16">
        <v>43</v>
      </c>
      <c r="AF57" s="17">
        <v>300</v>
      </c>
      <c r="AG57" s="47">
        <f t="shared" si="36"/>
        <v>252</v>
      </c>
      <c r="AH57" s="18">
        <v>600</v>
      </c>
      <c r="AI57" s="18">
        <f t="shared" si="37"/>
        <v>475</v>
      </c>
      <c r="AJ57" s="19">
        <f t="shared" si="38"/>
        <v>79.166666666666657</v>
      </c>
      <c r="AK57" s="20" t="str">
        <f t="shared" si="39"/>
        <v>B</v>
      </c>
      <c r="AL57" s="20" t="str">
        <f t="shared" si="40"/>
        <v>Pass</v>
      </c>
    </row>
    <row r="58" spans="1:38" ht="15" customHeight="1" x14ac:dyDescent="0.3">
      <c r="A58" s="9" t="s">
        <v>136</v>
      </c>
      <c r="B58" s="10" t="s">
        <v>144</v>
      </c>
      <c r="C58" s="10" t="s">
        <v>80</v>
      </c>
      <c r="D58" s="9" t="s">
        <v>145</v>
      </c>
      <c r="E58" s="9">
        <v>4</v>
      </c>
      <c r="F58" s="11">
        <v>50</v>
      </c>
      <c r="G58" s="12">
        <v>31</v>
      </c>
      <c r="H58" s="11">
        <v>50</v>
      </c>
      <c r="I58" s="12">
        <v>47</v>
      </c>
      <c r="J58" s="11">
        <v>50</v>
      </c>
      <c r="K58" s="12">
        <v>28</v>
      </c>
      <c r="L58" s="11">
        <v>50</v>
      </c>
      <c r="M58" s="12">
        <v>33</v>
      </c>
      <c r="N58" s="11">
        <v>50</v>
      </c>
      <c r="O58" s="12">
        <v>40</v>
      </c>
      <c r="P58" s="11">
        <v>50</v>
      </c>
      <c r="Q58" s="12">
        <v>29</v>
      </c>
      <c r="R58" s="14">
        <v>300</v>
      </c>
      <c r="S58" s="43">
        <f t="shared" si="35"/>
        <v>208</v>
      </c>
      <c r="T58" s="15">
        <v>50</v>
      </c>
      <c r="U58" s="16">
        <v>43</v>
      </c>
      <c r="V58" s="15">
        <v>50</v>
      </c>
      <c r="W58" s="16">
        <v>45</v>
      </c>
      <c r="X58" s="15">
        <v>50</v>
      </c>
      <c r="Y58" s="16">
        <v>44</v>
      </c>
      <c r="Z58" s="15">
        <v>50</v>
      </c>
      <c r="AA58" s="16">
        <v>39</v>
      </c>
      <c r="AB58" s="15">
        <v>50</v>
      </c>
      <c r="AC58" s="16">
        <v>38</v>
      </c>
      <c r="AD58" s="15">
        <v>50</v>
      </c>
      <c r="AE58" s="16">
        <v>37</v>
      </c>
      <c r="AF58" s="17">
        <v>300</v>
      </c>
      <c r="AG58" s="47">
        <f t="shared" si="36"/>
        <v>246</v>
      </c>
      <c r="AH58" s="18">
        <v>600</v>
      </c>
      <c r="AI58" s="18">
        <f t="shared" si="37"/>
        <v>454</v>
      </c>
      <c r="AJ58" s="19">
        <f t="shared" si="38"/>
        <v>75.666666666666671</v>
      </c>
      <c r="AK58" s="20" t="str">
        <f t="shared" si="39"/>
        <v>B</v>
      </c>
      <c r="AL58" s="20" t="str">
        <f t="shared" si="40"/>
        <v>Pass</v>
      </c>
    </row>
    <row r="59" spans="1:38" ht="15" customHeight="1" x14ac:dyDescent="0.3">
      <c r="A59" s="21" t="s">
        <v>136</v>
      </c>
      <c r="B59" s="22" t="s">
        <v>106</v>
      </c>
      <c r="C59" s="22" t="s">
        <v>146</v>
      </c>
      <c r="D59" s="21" t="s">
        <v>147</v>
      </c>
      <c r="E59" s="21">
        <v>5</v>
      </c>
      <c r="F59" s="11">
        <v>50</v>
      </c>
      <c r="G59" s="12">
        <v>25</v>
      </c>
      <c r="H59" s="11">
        <v>50</v>
      </c>
      <c r="I59" s="12">
        <v>44</v>
      </c>
      <c r="J59" s="11">
        <v>50</v>
      </c>
      <c r="K59" s="12">
        <v>24</v>
      </c>
      <c r="L59" s="11">
        <v>50</v>
      </c>
      <c r="M59" s="12">
        <v>21</v>
      </c>
      <c r="N59" s="11">
        <v>50</v>
      </c>
      <c r="O59" s="12">
        <v>26</v>
      </c>
      <c r="P59" s="11">
        <v>50</v>
      </c>
      <c r="Q59" s="12">
        <v>38</v>
      </c>
      <c r="R59" s="14">
        <v>300</v>
      </c>
      <c r="S59" s="43">
        <f t="shared" si="35"/>
        <v>178</v>
      </c>
      <c r="T59" s="15">
        <v>50</v>
      </c>
      <c r="U59" s="16">
        <v>35</v>
      </c>
      <c r="V59" s="15">
        <v>50</v>
      </c>
      <c r="W59" s="16">
        <v>41</v>
      </c>
      <c r="X59" s="15">
        <v>50</v>
      </c>
      <c r="Y59" s="16">
        <v>34</v>
      </c>
      <c r="Z59" s="15">
        <v>50</v>
      </c>
      <c r="AA59" s="16">
        <v>36</v>
      </c>
      <c r="AB59" s="15">
        <v>50</v>
      </c>
      <c r="AC59" s="16">
        <v>32</v>
      </c>
      <c r="AD59" s="15">
        <v>50</v>
      </c>
      <c r="AE59" s="16">
        <v>43</v>
      </c>
      <c r="AF59" s="17">
        <v>300</v>
      </c>
      <c r="AG59" s="47">
        <f t="shared" si="36"/>
        <v>221</v>
      </c>
      <c r="AH59" s="18">
        <v>600</v>
      </c>
      <c r="AI59" s="18">
        <f t="shared" si="37"/>
        <v>399</v>
      </c>
      <c r="AJ59" s="19">
        <f t="shared" si="38"/>
        <v>66.5</v>
      </c>
      <c r="AK59" s="20" t="str">
        <f t="shared" si="39"/>
        <v>B</v>
      </c>
      <c r="AL59" s="20" t="str">
        <f t="shared" si="40"/>
        <v>Pass</v>
      </c>
    </row>
    <row r="60" spans="1:38" ht="15" customHeight="1" x14ac:dyDescent="0.3">
      <c r="A60" s="9" t="s">
        <v>136</v>
      </c>
      <c r="B60" s="10" t="s">
        <v>148</v>
      </c>
      <c r="C60" s="10" t="s">
        <v>149</v>
      </c>
      <c r="D60" s="9" t="s">
        <v>150</v>
      </c>
      <c r="E60" s="9">
        <v>6</v>
      </c>
      <c r="F60" s="11">
        <v>50</v>
      </c>
      <c r="G60" s="12">
        <v>26</v>
      </c>
      <c r="H60" s="11">
        <v>50</v>
      </c>
      <c r="I60" s="12">
        <v>44</v>
      </c>
      <c r="J60" s="11">
        <v>50</v>
      </c>
      <c r="K60" s="12">
        <v>26</v>
      </c>
      <c r="L60" s="11">
        <v>50</v>
      </c>
      <c r="M60" s="12">
        <v>22</v>
      </c>
      <c r="N60" s="11">
        <v>50</v>
      </c>
      <c r="O60" s="12">
        <v>40</v>
      </c>
      <c r="P60" s="11">
        <v>50</v>
      </c>
      <c r="Q60" s="12">
        <v>32</v>
      </c>
      <c r="R60" s="14">
        <v>300</v>
      </c>
      <c r="S60" s="43">
        <f t="shared" si="35"/>
        <v>190</v>
      </c>
      <c r="T60" s="15">
        <v>50</v>
      </c>
      <c r="U60" s="16">
        <v>38</v>
      </c>
      <c r="V60" s="15">
        <v>50</v>
      </c>
      <c r="W60" s="16">
        <v>37</v>
      </c>
      <c r="X60" s="15">
        <v>50</v>
      </c>
      <c r="Y60" s="16">
        <v>35</v>
      </c>
      <c r="Z60" s="15">
        <v>50</v>
      </c>
      <c r="AA60" s="16">
        <v>38</v>
      </c>
      <c r="AB60" s="15">
        <v>50</v>
      </c>
      <c r="AC60" s="16">
        <v>40</v>
      </c>
      <c r="AD60" s="15">
        <v>50</v>
      </c>
      <c r="AE60" s="16">
        <v>43</v>
      </c>
      <c r="AF60" s="17">
        <v>300</v>
      </c>
      <c r="AG60" s="47">
        <f t="shared" si="36"/>
        <v>231</v>
      </c>
      <c r="AH60" s="18">
        <v>600</v>
      </c>
      <c r="AI60" s="18">
        <f t="shared" si="37"/>
        <v>421</v>
      </c>
      <c r="AJ60" s="19">
        <f t="shared" si="38"/>
        <v>70.166666666666671</v>
      </c>
      <c r="AK60" s="20" t="str">
        <f t="shared" si="39"/>
        <v>B</v>
      </c>
      <c r="AL60" s="20" t="str">
        <f t="shared" si="40"/>
        <v>Pass</v>
      </c>
    </row>
    <row r="61" spans="1:38" ht="15" customHeight="1" x14ac:dyDescent="0.3">
      <c r="A61" s="21" t="s">
        <v>136</v>
      </c>
      <c r="B61" s="22" t="s">
        <v>151</v>
      </c>
      <c r="C61" s="22" t="s">
        <v>152</v>
      </c>
      <c r="D61" s="21" t="s">
        <v>153</v>
      </c>
      <c r="E61" s="21">
        <v>7</v>
      </c>
      <c r="F61" s="11">
        <v>50</v>
      </c>
      <c r="G61" s="12">
        <v>19</v>
      </c>
      <c r="H61" s="11">
        <v>50</v>
      </c>
      <c r="I61" s="12">
        <v>43</v>
      </c>
      <c r="J61" s="11">
        <v>50</v>
      </c>
      <c r="K61" s="12">
        <v>28</v>
      </c>
      <c r="L61" s="11">
        <v>50</v>
      </c>
      <c r="M61" s="12">
        <v>26</v>
      </c>
      <c r="N61" s="11">
        <v>50</v>
      </c>
      <c r="O61" s="12">
        <v>32</v>
      </c>
      <c r="P61" s="11">
        <v>50</v>
      </c>
      <c r="Q61" s="12">
        <v>34</v>
      </c>
      <c r="R61" s="14">
        <v>300</v>
      </c>
      <c r="S61" s="43">
        <f t="shared" si="35"/>
        <v>182</v>
      </c>
      <c r="T61" s="15">
        <v>50</v>
      </c>
      <c r="U61" s="16">
        <v>36</v>
      </c>
      <c r="V61" s="15">
        <v>50</v>
      </c>
      <c r="W61" s="16">
        <v>40</v>
      </c>
      <c r="X61" s="15">
        <v>50</v>
      </c>
      <c r="Y61" s="16">
        <v>49</v>
      </c>
      <c r="Z61" s="15">
        <v>50</v>
      </c>
      <c r="AA61" s="16">
        <v>36</v>
      </c>
      <c r="AB61" s="15">
        <v>50</v>
      </c>
      <c r="AC61" s="16">
        <v>37</v>
      </c>
      <c r="AD61" s="15">
        <v>50</v>
      </c>
      <c r="AE61" s="16">
        <v>42</v>
      </c>
      <c r="AF61" s="17">
        <v>300</v>
      </c>
      <c r="AG61" s="47">
        <f t="shared" si="36"/>
        <v>240</v>
      </c>
      <c r="AH61" s="18">
        <v>600</v>
      </c>
      <c r="AI61" s="18">
        <f t="shared" si="37"/>
        <v>422</v>
      </c>
      <c r="AJ61" s="19">
        <f t="shared" si="38"/>
        <v>70.333333333333343</v>
      </c>
      <c r="AK61" s="20" t="str">
        <f t="shared" si="39"/>
        <v>B</v>
      </c>
      <c r="AL61" s="20" t="str">
        <f t="shared" si="40"/>
        <v>Pass</v>
      </c>
    </row>
    <row r="62" spans="1:38" ht="15" customHeight="1" x14ac:dyDescent="0.3">
      <c r="A62" s="9" t="s">
        <v>136</v>
      </c>
      <c r="B62" s="10" t="s">
        <v>154</v>
      </c>
      <c r="C62" s="10" t="s">
        <v>155</v>
      </c>
      <c r="D62" s="9" t="s">
        <v>156</v>
      </c>
      <c r="E62" s="9">
        <v>8</v>
      </c>
      <c r="F62" s="11">
        <v>50</v>
      </c>
      <c r="G62" s="12">
        <v>22</v>
      </c>
      <c r="H62" s="11">
        <v>50</v>
      </c>
      <c r="I62" s="12">
        <v>39</v>
      </c>
      <c r="J62" s="11">
        <v>50</v>
      </c>
      <c r="K62" s="12">
        <v>35</v>
      </c>
      <c r="L62" s="11">
        <v>50</v>
      </c>
      <c r="M62" s="12">
        <v>31</v>
      </c>
      <c r="N62" s="11">
        <v>50</v>
      </c>
      <c r="O62" s="12">
        <v>32</v>
      </c>
      <c r="P62" s="11">
        <v>50</v>
      </c>
      <c r="Q62" s="12">
        <v>36</v>
      </c>
      <c r="R62" s="14">
        <v>300</v>
      </c>
      <c r="S62" s="43">
        <f t="shared" si="35"/>
        <v>195</v>
      </c>
      <c r="T62" s="15">
        <v>50</v>
      </c>
      <c r="U62" s="16">
        <v>38</v>
      </c>
      <c r="V62" s="15">
        <v>50</v>
      </c>
      <c r="W62" s="16">
        <v>39</v>
      </c>
      <c r="X62" s="15">
        <v>50</v>
      </c>
      <c r="Y62" s="16">
        <v>31</v>
      </c>
      <c r="Z62" s="15">
        <v>50</v>
      </c>
      <c r="AA62" s="16">
        <v>32</v>
      </c>
      <c r="AB62" s="15">
        <v>50</v>
      </c>
      <c r="AC62" s="16">
        <v>40</v>
      </c>
      <c r="AD62" s="15">
        <v>50</v>
      </c>
      <c r="AE62" s="16">
        <v>35</v>
      </c>
      <c r="AF62" s="17">
        <v>300</v>
      </c>
      <c r="AG62" s="47">
        <f t="shared" si="36"/>
        <v>215</v>
      </c>
      <c r="AH62" s="18">
        <v>600</v>
      </c>
      <c r="AI62" s="18">
        <f t="shared" si="37"/>
        <v>410</v>
      </c>
      <c r="AJ62" s="19">
        <f t="shared" si="38"/>
        <v>68.333333333333329</v>
      </c>
      <c r="AK62" s="20" t="str">
        <f t="shared" si="39"/>
        <v>B</v>
      </c>
      <c r="AL62" s="20" t="str">
        <f t="shared" si="40"/>
        <v>Pass</v>
      </c>
    </row>
    <row r="63" spans="1:38" ht="15" customHeight="1" x14ac:dyDescent="0.3">
      <c r="A63" s="21" t="s">
        <v>136</v>
      </c>
      <c r="B63" s="22" t="s">
        <v>157</v>
      </c>
      <c r="C63" s="22" t="s">
        <v>158</v>
      </c>
      <c r="D63" s="21" t="s">
        <v>159</v>
      </c>
      <c r="E63" s="21">
        <v>9</v>
      </c>
      <c r="F63" s="11">
        <v>50</v>
      </c>
      <c r="G63" s="12">
        <v>44</v>
      </c>
      <c r="H63" s="11">
        <v>50</v>
      </c>
      <c r="I63" s="12">
        <v>46</v>
      </c>
      <c r="J63" s="11">
        <v>50</v>
      </c>
      <c r="K63" s="12">
        <v>40</v>
      </c>
      <c r="L63" s="11">
        <v>50</v>
      </c>
      <c r="M63" s="12">
        <v>40</v>
      </c>
      <c r="N63" s="11">
        <v>50</v>
      </c>
      <c r="O63" s="12">
        <v>36</v>
      </c>
      <c r="P63" s="11">
        <v>50</v>
      </c>
      <c r="Q63" s="12">
        <v>39</v>
      </c>
      <c r="R63" s="14">
        <v>300</v>
      </c>
      <c r="S63" s="43">
        <f t="shared" si="35"/>
        <v>245</v>
      </c>
      <c r="T63" s="15">
        <v>50</v>
      </c>
      <c r="U63" s="16">
        <v>44</v>
      </c>
      <c r="V63" s="15">
        <v>50</v>
      </c>
      <c r="W63" s="16">
        <v>35</v>
      </c>
      <c r="X63" s="15">
        <v>50</v>
      </c>
      <c r="Y63" s="16">
        <v>47</v>
      </c>
      <c r="Z63" s="15">
        <v>50</v>
      </c>
      <c r="AA63" s="16">
        <v>44</v>
      </c>
      <c r="AB63" s="15">
        <v>50</v>
      </c>
      <c r="AC63" s="16">
        <v>42</v>
      </c>
      <c r="AD63" s="15">
        <v>50</v>
      </c>
      <c r="AE63" s="16">
        <v>41</v>
      </c>
      <c r="AF63" s="17">
        <v>300</v>
      </c>
      <c r="AG63" s="47">
        <f t="shared" si="36"/>
        <v>253</v>
      </c>
      <c r="AH63" s="18">
        <v>600</v>
      </c>
      <c r="AI63" s="18">
        <f t="shared" si="37"/>
        <v>498</v>
      </c>
      <c r="AJ63" s="19">
        <f t="shared" si="38"/>
        <v>83</v>
      </c>
      <c r="AK63" s="20" t="str">
        <f t="shared" si="39"/>
        <v>A</v>
      </c>
      <c r="AL63" s="20" t="str">
        <f t="shared" si="40"/>
        <v>Pass</v>
      </c>
    </row>
    <row r="64" spans="1:38" ht="15" customHeight="1" x14ac:dyDescent="0.3">
      <c r="A64" s="9" t="s">
        <v>136</v>
      </c>
      <c r="B64" s="10" t="s">
        <v>160</v>
      </c>
      <c r="C64" s="10" t="s">
        <v>161</v>
      </c>
      <c r="D64" s="9" t="s">
        <v>162</v>
      </c>
      <c r="E64" s="9">
        <v>10</v>
      </c>
      <c r="F64" s="11">
        <v>50</v>
      </c>
      <c r="G64" s="12">
        <v>24</v>
      </c>
      <c r="H64" s="11">
        <v>50</v>
      </c>
      <c r="I64" s="12">
        <v>45</v>
      </c>
      <c r="J64" s="11">
        <v>50</v>
      </c>
      <c r="K64" s="12">
        <v>25</v>
      </c>
      <c r="L64" s="11">
        <v>50</v>
      </c>
      <c r="M64" s="12">
        <v>26</v>
      </c>
      <c r="N64" s="11">
        <v>50</v>
      </c>
      <c r="O64" s="12">
        <v>39</v>
      </c>
      <c r="P64" s="11">
        <v>50</v>
      </c>
      <c r="Q64" s="12">
        <v>37</v>
      </c>
      <c r="R64" s="14">
        <v>300</v>
      </c>
      <c r="S64" s="43">
        <f t="shared" si="35"/>
        <v>196</v>
      </c>
      <c r="T64" s="15">
        <v>50</v>
      </c>
      <c r="U64" s="16">
        <v>42</v>
      </c>
      <c r="V64" s="15">
        <v>50</v>
      </c>
      <c r="W64" s="16">
        <v>41</v>
      </c>
      <c r="X64" s="15">
        <v>50</v>
      </c>
      <c r="Y64" s="16">
        <v>44</v>
      </c>
      <c r="Z64" s="15">
        <v>50</v>
      </c>
      <c r="AA64" s="16">
        <v>42</v>
      </c>
      <c r="AB64" s="15">
        <v>50</v>
      </c>
      <c r="AC64" s="16">
        <v>42</v>
      </c>
      <c r="AD64" s="15">
        <v>50</v>
      </c>
      <c r="AE64" s="16">
        <v>39</v>
      </c>
      <c r="AF64" s="17">
        <v>300</v>
      </c>
      <c r="AG64" s="47">
        <f t="shared" si="36"/>
        <v>250</v>
      </c>
      <c r="AH64" s="18">
        <v>600</v>
      </c>
      <c r="AI64" s="18">
        <f t="shared" si="37"/>
        <v>446</v>
      </c>
      <c r="AJ64" s="19">
        <f t="shared" si="38"/>
        <v>74.333333333333329</v>
      </c>
      <c r="AK64" s="20" t="str">
        <f t="shared" si="39"/>
        <v>B</v>
      </c>
      <c r="AL64" s="20" t="str">
        <f t="shared" si="40"/>
        <v>Pass</v>
      </c>
    </row>
    <row r="65" spans="1:38" ht="15" customHeight="1" x14ac:dyDescent="0.3">
      <c r="A65" s="21" t="s">
        <v>136</v>
      </c>
      <c r="B65" s="22" t="s">
        <v>163</v>
      </c>
      <c r="C65" s="22" t="s">
        <v>164</v>
      </c>
      <c r="D65" s="21" t="s">
        <v>165</v>
      </c>
      <c r="E65" s="21">
        <v>11</v>
      </c>
      <c r="F65" s="11">
        <v>50</v>
      </c>
      <c r="G65" s="12">
        <v>23</v>
      </c>
      <c r="H65" s="11">
        <v>50</v>
      </c>
      <c r="I65" s="12">
        <v>44</v>
      </c>
      <c r="J65" s="11">
        <v>50</v>
      </c>
      <c r="K65" s="12">
        <v>26</v>
      </c>
      <c r="L65" s="11">
        <v>50</v>
      </c>
      <c r="M65" s="12">
        <v>32</v>
      </c>
      <c r="N65" s="11">
        <v>50</v>
      </c>
      <c r="O65" s="12">
        <v>38</v>
      </c>
      <c r="P65" s="11">
        <v>50</v>
      </c>
      <c r="Q65" s="12">
        <v>37</v>
      </c>
      <c r="R65" s="14">
        <v>300</v>
      </c>
      <c r="S65" s="43">
        <f t="shared" si="35"/>
        <v>200</v>
      </c>
      <c r="T65" s="15">
        <v>50</v>
      </c>
      <c r="U65" s="16">
        <v>37</v>
      </c>
      <c r="V65" s="15">
        <v>50</v>
      </c>
      <c r="W65" s="16">
        <v>41</v>
      </c>
      <c r="X65" s="15">
        <v>50</v>
      </c>
      <c r="Y65" s="16">
        <v>41</v>
      </c>
      <c r="Z65" s="15">
        <v>50</v>
      </c>
      <c r="AA65" s="16">
        <v>41</v>
      </c>
      <c r="AB65" s="15">
        <v>50</v>
      </c>
      <c r="AC65" s="16">
        <v>40</v>
      </c>
      <c r="AD65" s="15">
        <v>50</v>
      </c>
      <c r="AE65" s="16">
        <v>41</v>
      </c>
      <c r="AF65" s="17">
        <v>300</v>
      </c>
      <c r="AG65" s="47">
        <f t="shared" si="36"/>
        <v>241</v>
      </c>
      <c r="AH65" s="18">
        <v>600</v>
      </c>
      <c r="AI65" s="18">
        <f t="shared" si="37"/>
        <v>441</v>
      </c>
      <c r="AJ65" s="19">
        <f t="shared" si="38"/>
        <v>73.5</v>
      </c>
      <c r="AK65" s="20" t="str">
        <f t="shared" si="39"/>
        <v>B</v>
      </c>
      <c r="AL65" s="20" t="str">
        <f t="shared" si="40"/>
        <v>Pass</v>
      </c>
    </row>
    <row r="66" spans="1:38" ht="15" customHeight="1" x14ac:dyDescent="0.3">
      <c r="A66" s="9" t="s">
        <v>136</v>
      </c>
      <c r="B66" s="10" t="s">
        <v>166</v>
      </c>
      <c r="C66" s="10" t="s">
        <v>167</v>
      </c>
      <c r="D66" s="9" t="s">
        <v>168</v>
      </c>
      <c r="E66" s="9">
        <v>12</v>
      </c>
      <c r="F66" s="11">
        <v>50</v>
      </c>
      <c r="G66" s="12">
        <v>28</v>
      </c>
      <c r="H66" s="11">
        <v>50</v>
      </c>
      <c r="I66" s="12">
        <v>35</v>
      </c>
      <c r="J66" s="11">
        <v>50</v>
      </c>
      <c r="K66" s="12">
        <v>30</v>
      </c>
      <c r="L66" s="11">
        <v>50</v>
      </c>
      <c r="M66" s="12">
        <v>22</v>
      </c>
      <c r="N66" s="11">
        <v>50</v>
      </c>
      <c r="O66" s="12">
        <v>40</v>
      </c>
      <c r="P66" s="11">
        <v>50</v>
      </c>
      <c r="Q66" s="12">
        <v>37</v>
      </c>
      <c r="R66" s="14">
        <v>300</v>
      </c>
      <c r="S66" s="43">
        <f t="shared" si="35"/>
        <v>192</v>
      </c>
      <c r="T66" s="15">
        <v>50</v>
      </c>
      <c r="U66" s="16">
        <v>37</v>
      </c>
      <c r="V66" s="15">
        <v>50</v>
      </c>
      <c r="W66" s="16">
        <v>41</v>
      </c>
      <c r="X66" s="15">
        <v>50</v>
      </c>
      <c r="Y66" s="16">
        <v>0</v>
      </c>
      <c r="Z66" s="15">
        <v>50</v>
      </c>
      <c r="AA66" s="16">
        <v>41</v>
      </c>
      <c r="AB66" s="15">
        <v>50</v>
      </c>
      <c r="AC66" s="16">
        <v>40</v>
      </c>
      <c r="AD66" s="15">
        <v>50</v>
      </c>
      <c r="AE66" s="16">
        <v>41</v>
      </c>
      <c r="AF66" s="17">
        <v>300</v>
      </c>
      <c r="AG66" s="47">
        <f t="shared" si="36"/>
        <v>200</v>
      </c>
      <c r="AH66" s="18">
        <v>600</v>
      </c>
      <c r="AI66" s="18">
        <f t="shared" si="37"/>
        <v>392</v>
      </c>
      <c r="AJ66" s="19">
        <f t="shared" si="38"/>
        <v>65.333333333333329</v>
      </c>
      <c r="AK66" s="20" t="str">
        <f t="shared" si="39"/>
        <v>B</v>
      </c>
      <c r="AL66" s="20" t="str">
        <f t="shared" si="40"/>
        <v>Pass</v>
      </c>
    </row>
    <row r="67" spans="1:38" ht="15" customHeight="1" x14ac:dyDescent="0.3">
      <c r="A67" s="21" t="s">
        <v>136</v>
      </c>
      <c r="B67" s="22" t="s">
        <v>169</v>
      </c>
      <c r="C67" s="22" t="s">
        <v>170</v>
      </c>
      <c r="D67" s="21" t="s">
        <v>171</v>
      </c>
      <c r="E67" s="21">
        <v>13</v>
      </c>
      <c r="F67" s="11">
        <v>50</v>
      </c>
      <c r="G67" s="12">
        <v>23</v>
      </c>
      <c r="H67" s="11">
        <v>50</v>
      </c>
      <c r="I67" s="12">
        <v>26</v>
      </c>
      <c r="J67" s="11">
        <v>50</v>
      </c>
      <c r="K67" s="12">
        <v>17</v>
      </c>
      <c r="L67" s="11">
        <v>50</v>
      </c>
      <c r="M67" s="12">
        <v>27</v>
      </c>
      <c r="N67" s="11">
        <v>50</v>
      </c>
      <c r="O67" s="12">
        <v>27</v>
      </c>
      <c r="P67" s="11">
        <v>50</v>
      </c>
      <c r="Q67" s="12">
        <v>33</v>
      </c>
      <c r="R67" s="14">
        <v>300</v>
      </c>
      <c r="S67" s="43">
        <f t="shared" si="35"/>
        <v>153</v>
      </c>
      <c r="T67" s="15">
        <v>50</v>
      </c>
      <c r="U67" s="16">
        <v>28</v>
      </c>
      <c r="V67" s="15">
        <v>50</v>
      </c>
      <c r="W67" s="16">
        <v>42</v>
      </c>
      <c r="X67" s="15">
        <v>50</v>
      </c>
      <c r="Y67" s="16">
        <v>40</v>
      </c>
      <c r="Z67" s="15">
        <v>50</v>
      </c>
      <c r="AA67" s="16">
        <v>26</v>
      </c>
      <c r="AB67" s="15">
        <v>50</v>
      </c>
      <c r="AC67" s="16">
        <v>38</v>
      </c>
      <c r="AD67" s="15">
        <v>50</v>
      </c>
      <c r="AE67" s="16">
        <v>22</v>
      </c>
      <c r="AF67" s="17">
        <v>300</v>
      </c>
      <c r="AG67" s="47">
        <f t="shared" si="36"/>
        <v>196</v>
      </c>
      <c r="AH67" s="18">
        <v>600</v>
      </c>
      <c r="AI67" s="18">
        <f t="shared" si="37"/>
        <v>349</v>
      </c>
      <c r="AJ67" s="19">
        <f t="shared" si="38"/>
        <v>58.166666666666664</v>
      </c>
      <c r="AK67" s="20" t="str">
        <f t="shared" si="39"/>
        <v>C</v>
      </c>
      <c r="AL67" s="20" t="str">
        <f t="shared" si="40"/>
        <v>Pass</v>
      </c>
    </row>
    <row r="68" spans="1:38" ht="15" customHeight="1" x14ac:dyDescent="0.3">
      <c r="A68" s="9" t="s">
        <v>136</v>
      </c>
      <c r="B68" s="10" t="s">
        <v>172</v>
      </c>
      <c r="C68" s="10" t="s">
        <v>173</v>
      </c>
      <c r="D68" s="9" t="s">
        <v>174</v>
      </c>
      <c r="E68" s="9">
        <v>14</v>
      </c>
      <c r="F68" s="11">
        <v>50</v>
      </c>
      <c r="G68" s="12">
        <v>18</v>
      </c>
      <c r="H68" s="11">
        <v>50</v>
      </c>
      <c r="I68" s="12">
        <v>31</v>
      </c>
      <c r="J68" s="11">
        <v>50</v>
      </c>
      <c r="K68" s="12">
        <v>32</v>
      </c>
      <c r="L68" s="11">
        <v>50</v>
      </c>
      <c r="M68" s="12">
        <v>28</v>
      </c>
      <c r="N68" s="11">
        <v>50</v>
      </c>
      <c r="O68" s="12">
        <v>31</v>
      </c>
      <c r="P68" s="11">
        <v>50</v>
      </c>
      <c r="Q68" s="12">
        <v>33</v>
      </c>
      <c r="R68" s="14">
        <v>300</v>
      </c>
      <c r="S68" s="43">
        <f t="shared" si="35"/>
        <v>173</v>
      </c>
      <c r="T68" s="15">
        <v>50</v>
      </c>
      <c r="U68" s="16">
        <v>29</v>
      </c>
      <c r="V68" s="15">
        <v>50</v>
      </c>
      <c r="W68" s="16">
        <v>40</v>
      </c>
      <c r="X68" s="15">
        <v>50</v>
      </c>
      <c r="Y68" s="16">
        <v>43</v>
      </c>
      <c r="Z68" s="15">
        <v>50</v>
      </c>
      <c r="AA68" s="16">
        <v>32</v>
      </c>
      <c r="AB68" s="15">
        <v>50</v>
      </c>
      <c r="AC68" s="16">
        <v>36</v>
      </c>
      <c r="AD68" s="15">
        <v>50</v>
      </c>
      <c r="AE68" s="16">
        <v>32</v>
      </c>
      <c r="AF68" s="17">
        <v>300</v>
      </c>
      <c r="AG68" s="47">
        <f t="shared" si="36"/>
        <v>212</v>
      </c>
      <c r="AH68" s="18">
        <v>600</v>
      </c>
      <c r="AI68" s="18">
        <f t="shared" si="37"/>
        <v>385</v>
      </c>
      <c r="AJ68" s="19">
        <f t="shared" si="38"/>
        <v>64.166666666666671</v>
      </c>
      <c r="AK68" s="20" t="str">
        <f t="shared" si="39"/>
        <v>B</v>
      </c>
      <c r="AL68" s="20" t="str">
        <f t="shared" si="40"/>
        <v>Pass</v>
      </c>
    </row>
    <row r="69" spans="1:38" ht="15" customHeight="1" x14ac:dyDescent="0.3">
      <c r="A69" s="21" t="s">
        <v>136</v>
      </c>
      <c r="B69" s="22" t="s">
        <v>175</v>
      </c>
      <c r="C69" s="22" t="s">
        <v>176</v>
      </c>
      <c r="D69" s="21" t="s">
        <v>177</v>
      </c>
      <c r="E69" s="21">
        <v>15</v>
      </c>
      <c r="F69" s="11">
        <v>50</v>
      </c>
      <c r="G69" s="12">
        <v>25</v>
      </c>
      <c r="H69" s="11">
        <v>50</v>
      </c>
      <c r="I69" s="12">
        <v>38</v>
      </c>
      <c r="J69" s="11">
        <v>50</v>
      </c>
      <c r="K69" s="12">
        <v>28</v>
      </c>
      <c r="L69" s="11">
        <v>50</v>
      </c>
      <c r="M69" s="12">
        <v>38</v>
      </c>
      <c r="N69" s="11">
        <v>50</v>
      </c>
      <c r="O69" s="12">
        <v>43</v>
      </c>
      <c r="P69" s="11">
        <v>50</v>
      </c>
      <c r="Q69" s="12">
        <v>37</v>
      </c>
      <c r="R69" s="14">
        <v>300</v>
      </c>
      <c r="S69" s="43">
        <f t="shared" si="35"/>
        <v>209</v>
      </c>
      <c r="T69" s="15">
        <v>50</v>
      </c>
      <c r="U69" s="16">
        <v>36</v>
      </c>
      <c r="V69" s="15">
        <v>50</v>
      </c>
      <c r="W69" s="16">
        <v>40</v>
      </c>
      <c r="X69" s="15">
        <v>50</v>
      </c>
      <c r="Y69" s="16">
        <v>44</v>
      </c>
      <c r="Z69" s="15">
        <v>50</v>
      </c>
      <c r="AA69" s="16">
        <v>45</v>
      </c>
      <c r="AB69" s="15">
        <v>50</v>
      </c>
      <c r="AC69" s="16">
        <v>42</v>
      </c>
      <c r="AD69" s="15">
        <v>50</v>
      </c>
      <c r="AE69" s="16">
        <v>43</v>
      </c>
      <c r="AF69" s="17">
        <v>300</v>
      </c>
      <c r="AG69" s="47">
        <f t="shared" si="36"/>
        <v>250</v>
      </c>
      <c r="AH69" s="18">
        <v>600</v>
      </c>
      <c r="AI69" s="18">
        <f t="shared" si="37"/>
        <v>459</v>
      </c>
      <c r="AJ69" s="19">
        <f t="shared" si="38"/>
        <v>76.5</v>
      </c>
      <c r="AK69" s="20" t="str">
        <f t="shared" si="39"/>
        <v>B</v>
      </c>
      <c r="AL69" s="20" t="str">
        <f t="shared" si="40"/>
        <v>Pass</v>
      </c>
    </row>
    <row r="70" spans="1:38" ht="15" customHeight="1" x14ac:dyDescent="0.3">
      <c r="A70" s="9" t="s">
        <v>136</v>
      </c>
      <c r="B70" s="10" t="s">
        <v>178</v>
      </c>
      <c r="C70" s="10" t="s">
        <v>179</v>
      </c>
      <c r="D70" s="9" t="s">
        <v>180</v>
      </c>
      <c r="E70" s="9">
        <v>16</v>
      </c>
      <c r="F70" s="11">
        <v>50</v>
      </c>
      <c r="G70" s="12">
        <v>32</v>
      </c>
      <c r="H70" s="11">
        <v>50</v>
      </c>
      <c r="I70" s="12">
        <v>45</v>
      </c>
      <c r="J70" s="11">
        <v>50</v>
      </c>
      <c r="K70" s="12">
        <v>33</v>
      </c>
      <c r="L70" s="11">
        <v>50</v>
      </c>
      <c r="M70" s="12">
        <v>40</v>
      </c>
      <c r="N70" s="11">
        <v>50</v>
      </c>
      <c r="O70" s="12">
        <v>42</v>
      </c>
      <c r="P70" s="11">
        <v>50</v>
      </c>
      <c r="Q70" s="12">
        <v>39</v>
      </c>
      <c r="R70" s="14">
        <v>300</v>
      </c>
      <c r="S70" s="43">
        <f t="shared" si="35"/>
        <v>231</v>
      </c>
      <c r="T70" s="15">
        <v>50</v>
      </c>
      <c r="U70" s="16">
        <v>37</v>
      </c>
      <c r="V70" s="15">
        <v>50</v>
      </c>
      <c r="W70" s="16">
        <v>38</v>
      </c>
      <c r="X70" s="15">
        <v>50</v>
      </c>
      <c r="Y70" s="16">
        <v>45</v>
      </c>
      <c r="Z70" s="15">
        <v>50</v>
      </c>
      <c r="AA70" s="16">
        <v>44</v>
      </c>
      <c r="AB70" s="15">
        <v>50</v>
      </c>
      <c r="AC70" s="16">
        <v>43</v>
      </c>
      <c r="AD70" s="15">
        <v>50</v>
      </c>
      <c r="AE70" s="16">
        <v>41</v>
      </c>
      <c r="AF70" s="17">
        <v>300</v>
      </c>
      <c r="AG70" s="47">
        <f t="shared" si="36"/>
        <v>248</v>
      </c>
      <c r="AH70" s="18">
        <v>600</v>
      </c>
      <c r="AI70" s="18">
        <f t="shared" si="37"/>
        <v>479</v>
      </c>
      <c r="AJ70" s="19">
        <f t="shared" si="38"/>
        <v>79.833333333333329</v>
      </c>
      <c r="AK70" s="20" t="str">
        <f t="shared" si="39"/>
        <v>B</v>
      </c>
      <c r="AL70" s="20" t="str">
        <f t="shared" si="40"/>
        <v>Pass</v>
      </c>
    </row>
    <row r="71" spans="1:38" ht="14.4" x14ac:dyDescent="0.3">
      <c r="A71" s="21" t="s">
        <v>136</v>
      </c>
      <c r="B71" s="22" t="s">
        <v>181</v>
      </c>
      <c r="C71" s="22" t="s">
        <v>182</v>
      </c>
      <c r="D71" s="21" t="s">
        <v>183</v>
      </c>
      <c r="E71" s="21">
        <v>17</v>
      </c>
      <c r="F71" s="11">
        <v>50</v>
      </c>
      <c r="G71" s="12">
        <v>36</v>
      </c>
      <c r="H71" s="11">
        <v>50</v>
      </c>
      <c r="I71" s="12">
        <v>44</v>
      </c>
      <c r="J71" s="11">
        <v>50</v>
      </c>
      <c r="K71" s="12">
        <v>32</v>
      </c>
      <c r="L71" s="11">
        <v>50</v>
      </c>
      <c r="M71" s="12">
        <v>27</v>
      </c>
      <c r="N71" s="11">
        <v>50</v>
      </c>
      <c r="O71" s="12">
        <v>39</v>
      </c>
      <c r="P71" s="11">
        <v>50</v>
      </c>
      <c r="Q71" s="12">
        <v>32</v>
      </c>
      <c r="R71" s="14">
        <v>300</v>
      </c>
      <c r="S71" s="43">
        <f t="shared" si="35"/>
        <v>210</v>
      </c>
      <c r="T71" s="15">
        <v>50</v>
      </c>
      <c r="U71" s="16">
        <v>41</v>
      </c>
      <c r="V71" s="15">
        <v>50</v>
      </c>
      <c r="W71" s="16">
        <v>42</v>
      </c>
      <c r="X71" s="15">
        <v>50</v>
      </c>
      <c r="Y71" s="16">
        <v>45</v>
      </c>
      <c r="Z71" s="15">
        <v>50</v>
      </c>
      <c r="AA71" s="16">
        <v>42</v>
      </c>
      <c r="AB71" s="15">
        <v>50</v>
      </c>
      <c r="AC71" s="16">
        <v>44</v>
      </c>
      <c r="AD71" s="15">
        <v>50</v>
      </c>
      <c r="AE71" s="16">
        <v>39</v>
      </c>
      <c r="AF71" s="17">
        <v>300</v>
      </c>
      <c r="AG71" s="47">
        <f t="shared" si="36"/>
        <v>253</v>
      </c>
      <c r="AH71" s="18">
        <v>600</v>
      </c>
      <c r="AI71" s="18">
        <f t="shared" si="37"/>
        <v>463</v>
      </c>
      <c r="AJ71" s="19">
        <f t="shared" si="38"/>
        <v>77.166666666666657</v>
      </c>
      <c r="AK71" s="20" t="str">
        <f t="shared" si="39"/>
        <v>B</v>
      </c>
      <c r="AL71" s="20" t="str">
        <f t="shared" si="40"/>
        <v>Pass</v>
      </c>
    </row>
    <row r="72" spans="1:38" ht="16.05" customHeight="1" x14ac:dyDescent="0.45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44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44"/>
      <c r="AH72" s="23"/>
      <c r="AI72" s="23"/>
      <c r="AJ72" s="23"/>
      <c r="AK72" s="23"/>
      <c r="AL72" s="23"/>
    </row>
    <row r="73" spans="1:38" ht="15" customHeight="1" x14ac:dyDescent="0.3">
      <c r="A73" s="8" t="s">
        <v>184</v>
      </c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42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42"/>
      <c r="AH73" s="8"/>
      <c r="AI73" s="8"/>
      <c r="AJ73" s="8"/>
      <c r="AK73" s="8"/>
      <c r="AL73" s="8"/>
    </row>
    <row r="74" spans="1:38" ht="15" customHeight="1" x14ac:dyDescent="0.3">
      <c r="A74" s="9" t="s">
        <v>185</v>
      </c>
      <c r="B74" s="10" t="s">
        <v>186</v>
      </c>
      <c r="C74" s="10" t="s">
        <v>187</v>
      </c>
      <c r="D74" s="9" t="s">
        <v>188</v>
      </c>
      <c r="E74" s="9">
        <v>1</v>
      </c>
      <c r="F74" s="11">
        <v>50</v>
      </c>
      <c r="G74" s="12">
        <v>30</v>
      </c>
      <c r="H74" s="11">
        <v>50</v>
      </c>
      <c r="I74" s="12">
        <v>35</v>
      </c>
      <c r="J74" s="11">
        <v>50</v>
      </c>
      <c r="K74" s="12">
        <v>39</v>
      </c>
      <c r="L74" s="11">
        <v>50</v>
      </c>
      <c r="M74" s="12">
        <v>40</v>
      </c>
      <c r="N74" s="11">
        <v>50</v>
      </c>
      <c r="O74" s="12">
        <v>44</v>
      </c>
      <c r="P74" s="11">
        <v>50</v>
      </c>
      <c r="Q74" s="12">
        <v>35</v>
      </c>
      <c r="R74" s="14">
        <v>300</v>
      </c>
      <c r="S74" s="43">
        <f t="shared" ref="S74:S88" si="41">G74+I74+K74+M74+O74+Q74</f>
        <v>223</v>
      </c>
      <c r="T74" s="15">
        <v>50</v>
      </c>
      <c r="U74" s="16">
        <v>44</v>
      </c>
      <c r="V74" s="15">
        <v>50</v>
      </c>
      <c r="W74" s="16">
        <v>38</v>
      </c>
      <c r="X74" s="15">
        <v>50</v>
      </c>
      <c r="Y74" s="16">
        <v>42</v>
      </c>
      <c r="Z74" s="15">
        <v>50</v>
      </c>
      <c r="AA74" s="16">
        <v>44</v>
      </c>
      <c r="AB74" s="15">
        <v>50</v>
      </c>
      <c r="AC74" s="16">
        <v>41</v>
      </c>
      <c r="AD74" s="15">
        <v>50</v>
      </c>
      <c r="AE74" s="16">
        <v>45</v>
      </c>
      <c r="AF74" s="17">
        <v>300</v>
      </c>
      <c r="AG74" s="47">
        <f t="shared" ref="AG74:AG88" si="42">U74+W74+Y74+AA74+AC74+AE74</f>
        <v>254</v>
      </c>
      <c r="AH74" s="18">
        <v>600</v>
      </c>
      <c r="AI74" s="18">
        <f t="shared" ref="AI74:AI88" si="43">S74+AG74</f>
        <v>477</v>
      </c>
      <c r="AJ74" s="19">
        <f t="shared" ref="AJ74:AJ88" si="44">IF(AH74&gt;0,AI74/AH74*100,0)</f>
        <v>79.5</v>
      </c>
      <c r="AK74" s="20" t="str">
        <f t="shared" ref="AK74:AK88" si="45">IF(AJ74&gt;=81,"A",IF(AJ74&gt;=61,"B",IF(AJ74&gt;=41,"C",IF(AJ74&gt;=33,"D","E"))))</f>
        <v>B</v>
      </c>
      <c r="AL74" s="20" t="str">
        <f t="shared" ref="AL74:AL88" si="46">IF(AK74="E","Fail","Pass")</f>
        <v>Pass</v>
      </c>
    </row>
    <row r="75" spans="1:38" ht="15" customHeight="1" x14ac:dyDescent="0.3">
      <c r="A75" s="21" t="s">
        <v>185</v>
      </c>
      <c r="B75" s="22" t="s">
        <v>33</v>
      </c>
      <c r="C75" s="22" t="s">
        <v>189</v>
      </c>
      <c r="D75" s="21" t="s">
        <v>190</v>
      </c>
      <c r="E75" s="21">
        <v>2</v>
      </c>
      <c r="F75" s="11">
        <v>50</v>
      </c>
      <c r="G75" s="12">
        <v>32</v>
      </c>
      <c r="H75" s="11">
        <v>50</v>
      </c>
      <c r="I75" s="12">
        <v>40</v>
      </c>
      <c r="J75" s="11">
        <v>50</v>
      </c>
      <c r="K75" s="12">
        <v>30</v>
      </c>
      <c r="L75" s="11">
        <v>50</v>
      </c>
      <c r="M75" s="12">
        <v>31</v>
      </c>
      <c r="N75" s="11">
        <v>50</v>
      </c>
      <c r="O75" s="12">
        <v>41</v>
      </c>
      <c r="P75" s="11">
        <v>50</v>
      </c>
      <c r="Q75" s="12">
        <v>44</v>
      </c>
      <c r="R75" s="14">
        <v>300</v>
      </c>
      <c r="S75" s="43">
        <f t="shared" si="41"/>
        <v>218</v>
      </c>
      <c r="T75" s="15">
        <v>50</v>
      </c>
      <c r="U75" s="16">
        <v>42</v>
      </c>
      <c r="V75" s="15">
        <v>50</v>
      </c>
      <c r="W75" s="16">
        <v>34</v>
      </c>
      <c r="X75" s="15">
        <v>50</v>
      </c>
      <c r="Y75" s="16">
        <v>39</v>
      </c>
      <c r="Z75" s="15">
        <v>50</v>
      </c>
      <c r="AA75" s="16">
        <v>42</v>
      </c>
      <c r="AB75" s="15">
        <v>50</v>
      </c>
      <c r="AC75" s="16">
        <v>41</v>
      </c>
      <c r="AD75" s="15">
        <v>50</v>
      </c>
      <c r="AE75" s="16">
        <v>45</v>
      </c>
      <c r="AF75" s="17">
        <v>300</v>
      </c>
      <c r="AG75" s="47">
        <f t="shared" si="42"/>
        <v>243</v>
      </c>
      <c r="AH75" s="18">
        <v>600</v>
      </c>
      <c r="AI75" s="18">
        <f t="shared" si="43"/>
        <v>461</v>
      </c>
      <c r="AJ75" s="19">
        <f t="shared" si="44"/>
        <v>76.833333333333329</v>
      </c>
      <c r="AK75" s="20" t="str">
        <f t="shared" si="45"/>
        <v>B</v>
      </c>
      <c r="AL75" s="20" t="str">
        <f t="shared" si="46"/>
        <v>Pass</v>
      </c>
    </row>
    <row r="76" spans="1:38" ht="15" customHeight="1" x14ac:dyDescent="0.3">
      <c r="A76" s="9" t="s">
        <v>185</v>
      </c>
      <c r="B76" s="10" t="s">
        <v>38</v>
      </c>
      <c r="C76" s="10" t="s">
        <v>191</v>
      </c>
      <c r="D76" s="9" t="s">
        <v>192</v>
      </c>
      <c r="E76" s="9">
        <v>3</v>
      </c>
      <c r="F76" s="11">
        <v>50</v>
      </c>
      <c r="G76" s="12">
        <v>24</v>
      </c>
      <c r="H76" s="11">
        <v>50</v>
      </c>
      <c r="I76" s="12">
        <v>40</v>
      </c>
      <c r="J76" s="11">
        <v>50</v>
      </c>
      <c r="K76" s="12">
        <v>28</v>
      </c>
      <c r="L76" s="11">
        <v>50</v>
      </c>
      <c r="M76" s="12">
        <v>34</v>
      </c>
      <c r="N76" s="11">
        <v>50</v>
      </c>
      <c r="O76" s="12">
        <v>40</v>
      </c>
      <c r="P76" s="11">
        <v>50</v>
      </c>
      <c r="Q76" s="12">
        <v>35</v>
      </c>
      <c r="R76" s="14">
        <v>300</v>
      </c>
      <c r="S76" s="43">
        <f t="shared" si="41"/>
        <v>201</v>
      </c>
      <c r="T76" s="15">
        <v>50</v>
      </c>
      <c r="U76" s="16">
        <v>44</v>
      </c>
      <c r="V76" s="15">
        <v>50</v>
      </c>
      <c r="W76" s="16">
        <v>40</v>
      </c>
      <c r="X76" s="15">
        <v>50</v>
      </c>
      <c r="Y76" s="16">
        <v>48</v>
      </c>
      <c r="Z76" s="15">
        <v>50</v>
      </c>
      <c r="AA76" s="16">
        <v>45</v>
      </c>
      <c r="AB76" s="15">
        <v>50</v>
      </c>
      <c r="AC76" s="16">
        <v>49</v>
      </c>
      <c r="AD76" s="15">
        <v>50</v>
      </c>
      <c r="AE76" s="16">
        <v>40</v>
      </c>
      <c r="AF76" s="17">
        <v>300</v>
      </c>
      <c r="AG76" s="47">
        <f t="shared" si="42"/>
        <v>266</v>
      </c>
      <c r="AH76" s="18">
        <v>600</v>
      </c>
      <c r="AI76" s="18">
        <f t="shared" si="43"/>
        <v>467</v>
      </c>
      <c r="AJ76" s="19">
        <f t="shared" si="44"/>
        <v>77.833333333333329</v>
      </c>
      <c r="AK76" s="20" t="str">
        <f t="shared" si="45"/>
        <v>B</v>
      </c>
      <c r="AL76" s="20" t="str">
        <f t="shared" si="46"/>
        <v>Pass</v>
      </c>
    </row>
    <row r="77" spans="1:38" ht="15" customHeight="1" x14ac:dyDescent="0.3">
      <c r="A77" s="21" t="s">
        <v>185</v>
      </c>
      <c r="B77" s="22" t="s">
        <v>193</v>
      </c>
      <c r="C77" s="22" t="s">
        <v>194</v>
      </c>
      <c r="D77" s="21" t="s">
        <v>195</v>
      </c>
      <c r="E77" s="21">
        <v>4</v>
      </c>
      <c r="F77" s="11">
        <v>50</v>
      </c>
      <c r="G77" s="12">
        <v>24</v>
      </c>
      <c r="H77" s="11">
        <v>50</v>
      </c>
      <c r="I77" s="12">
        <v>45</v>
      </c>
      <c r="J77" s="11">
        <v>50</v>
      </c>
      <c r="K77" s="12">
        <v>37</v>
      </c>
      <c r="L77" s="11">
        <v>50</v>
      </c>
      <c r="M77" s="12">
        <v>41</v>
      </c>
      <c r="N77" s="11">
        <v>50</v>
      </c>
      <c r="O77" s="12">
        <v>40</v>
      </c>
      <c r="P77" s="11">
        <v>50</v>
      </c>
      <c r="Q77" s="12">
        <v>39</v>
      </c>
      <c r="R77" s="14">
        <v>300</v>
      </c>
      <c r="S77" s="43">
        <f t="shared" si="41"/>
        <v>226</v>
      </c>
      <c r="T77" s="15">
        <v>50</v>
      </c>
      <c r="U77" s="16">
        <v>40</v>
      </c>
      <c r="V77" s="15">
        <v>50</v>
      </c>
      <c r="W77" s="16">
        <v>37</v>
      </c>
      <c r="X77" s="15">
        <v>50</v>
      </c>
      <c r="Y77" s="16">
        <v>47</v>
      </c>
      <c r="Z77" s="15">
        <v>50</v>
      </c>
      <c r="AA77" s="16">
        <v>44</v>
      </c>
      <c r="AB77" s="15">
        <v>50</v>
      </c>
      <c r="AC77" s="16">
        <v>44</v>
      </c>
      <c r="AD77" s="15">
        <v>50</v>
      </c>
      <c r="AE77" s="16">
        <v>49</v>
      </c>
      <c r="AF77" s="17">
        <v>300</v>
      </c>
      <c r="AG77" s="47">
        <f t="shared" si="42"/>
        <v>261</v>
      </c>
      <c r="AH77" s="18">
        <v>600</v>
      </c>
      <c r="AI77" s="18">
        <f t="shared" si="43"/>
        <v>487</v>
      </c>
      <c r="AJ77" s="19">
        <f t="shared" si="44"/>
        <v>81.166666666666671</v>
      </c>
      <c r="AK77" s="20" t="str">
        <f t="shared" si="45"/>
        <v>A</v>
      </c>
      <c r="AL77" s="20" t="str">
        <f t="shared" si="46"/>
        <v>Pass</v>
      </c>
    </row>
    <row r="78" spans="1:38" ht="15" customHeight="1" x14ac:dyDescent="0.3">
      <c r="A78" s="9" t="s">
        <v>185</v>
      </c>
      <c r="B78" s="10" t="s">
        <v>196</v>
      </c>
      <c r="C78" s="10" t="s">
        <v>197</v>
      </c>
      <c r="D78" s="9" t="s">
        <v>198</v>
      </c>
      <c r="E78" s="9">
        <v>5</v>
      </c>
      <c r="F78" s="11">
        <v>50</v>
      </c>
      <c r="G78" s="12">
        <v>28</v>
      </c>
      <c r="H78" s="11">
        <v>50</v>
      </c>
      <c r="I78" s="12">
        <v>35</v>
      </c>
      <c r="J78" s="11">
        <v>50</v>
      </c>
      <c r="K78" s="12">
        <v>32</v>
      </c>
      <c r="L78" s="11">
        <v>50</v>
      </c>
      <c r="M78" s="12">
        <v>40</v>
      </c>
      <c r="N78" s="11">
        <v>50</v>
      </c>
      <c r="O78" s="12">
        <v>36</v>
      </c>
      <c r="P78" s="11">
        <v>50</v>
      </c>
      <c r="Q78" s="12">
        <v>41</v>
      </c>
      <c r="R78" s="14">
        <v>300</v>
      </c>
      <c r="S78" s="43">
        <f t="shared" si="41"/>
        <v>212</v>
      </c>
      <c r="T78" s="15">
        <v>50</v>
      </c>
      <c r="U78" s="16">
        <v>42</v>
      </c>
      <c r="V78" s="15">
        <v>50</v>
      </c>
      <c r="W78" s="16">
        <v>36</v>
      </c>
      <c r="X78" s="15">
        <v>50</v>
      </c>
      <c r="Y78" s="16">
        <v>45</v>
      </c>
      <c r="Z78" s="15">
        <v>50</v>
      </c>
      <c r="AA78" s="16">
        <v>45</v>
      </c>
      <c r="AB78" s="15">
        <v>50</v>
      </c>
      <c r="AC78" s="16">
        <v>43</v>
      </c>
      <c r="AD78" s="15">
        <v>50</v>
      </c>
      <c r="AE78" s="16">
        <v>39</v>
      </c>
      <c r="AF78" s="17">
        <v>300</v>
      </c>
      <c r="AG78" s="47">
        <f t="shared" si="42"/>
        <v>250</v>
      </c>
      <c r="AH78" s="18">
        <v>600</v>
      </c>
      <c r="AI78" s="18">
        <f t="shared" si="43"/>
        <v>462</v>
      </c>
      <c r="AJ78" s="19">
        <f t="shared" si="44"/>
        <v>77</v>
      </c>
      <c r="AK78" s="20" t="str">
        <f t="shared" si="45"/>
        <v>B</v>
      </c>
      <c r="AL78" s="20" t="str">
        <f t="shared" si="46"/>
        <v>Pass</v>
      </c>
    </row>
    <row r="79" spans="1:38" ht="15" customHeight="1" x14ac:dyDescent="0.3">
      <c r="A79" s="21" t="s">
        <v>185</v>
      </c>
      <c r="B79" s="22" t="s">
        <v>199</v>
      </c>
      <c r="C79" s="22" t="s">
        <v>200</v>
      </c>
      <c r="D79" s="21" t="s">
        <v>201</v>
      </c>
      <c r="E79" s="21">
        <v>6</v>
      </c>
      <c r="F79" s="11">
        <v>50</v>
      </c>
      <c r="G79" s="12">
        <v>28</v>
      </c>
      <c r="H79" s="11">
        <v>50</v>
      </c>
      <c r="I79" s="12">
        <v>40</v>
      </c>
      <c r="J79" s="11">
        <v>50</v>
      </c>
      <c r="K79" s="12">
        <v>19</v>
      </c>
      <c r="L79" s="11">
        <v>50</v>
      </c>
      <c r="M79" s="12">
        <v>39</v>
      </c>
      <c r="N79" s="11">
        <v>50</v>
      </c>
      <c r="O79" s="12">
        <v>34</v>
      </c>
      <c r="P79" s="11">
        <v>50</v>
      </c>
      <c r="Q79" s="12">
        <v>32</v>
      </c>
      <c r="R79" s="14">
        <v>300</v>
      </c>
      <c r="S79" s="43">
        <f t="shared" si="41"/>
        <v>192</v>
      </c>
      <c r="T79" s="15">
        <v>50</v>
      </c>
      <c r="U79" s="16">
        <v>40</v>
      </c>
      <c r="V79" s="15">
        <v>50</v>
      </c>
      <c r="W79" s="16">
        <v>32</v>
      </c>
      <c r="X79" s="15">
        <v>50</v>
      </c>
      <c r="Y79" s="16">
        <v>39</v>
      </c>
      <c r="Z79" s="15">
        <v>50</v>
      </c>
      <c r="AA79" s="16">
        <v>45</v>
      </c>
      <c r="AB79" s="15">
        <v>50</v>
      </c>
      <c r="AC79" s="16">
        <v>44</v>
      </c>
      <c r="AD79" s="15">
        <v>50</v>
      </c>
      <c r="AE79" s="16">
        <v>43</v>
      </c>
      <c r="AF79" s="17">
        <v>300</v>
      </c>
      <c r="AG79" s="47">
        <f t="shared" si="42"/>
        <v>243</v>
      </c>
      <c r="AH79" s="18">
        <v>600</v>
      </c>
      <c r="AI79" s="18">
        <f t="shared" si="43"/>
        <v>435</v>
      </c>
      <c r="AJ79" s="19">
        <f t="shared" si="44"/>
        <v>72.5</v>
      </c>
      <c r="AK79" s="20" t="str">
        <f t="shared" si="45"/>
        <v>B</v>
      </c>
      <c r="AL79" s="20" t="str">
        <f t="shared" si="46"/>
        <v>Pass</v>
      </c>
    </row>
    <row r="80" spans="1:38" ht="15" customHeight="1" x14ac:dyDescent="0.3">
      <c r="A80" s="9" t="s">
        <v>185</v>
      </c>
      <c r="B80" s="10" t="s">
        <v>202</v>
      </c>
      <c r="C80" s="10" t="s">
        <v>101</v>
      </c>
      <c r="D80" s="9" t="s">
        <v>203</v>
      </c>
      <c r="E80" s="9">
        <v>7</v>
      </c>
      <c r="F80" s="11">
        <v>50</v>
      </c>
      <c r="G80" s="12">
        <v>28</v>
      </c>
      <c r="H80" s="11">
        <v>50</v>
      </c>
      <c r="I80" s="12">
        <v>30</v>
      </c>
      <c r="J80" s="11">
        <v>50</v>
      </c>
      <c r="K80" s="12">
        <v>25</v>
      </c>
      <c r="L80" s="11">
        <v>50</v>
      </c>
      <c r="M80" s="12">
        <v>42</v>
      </c>
      <c r="N80" s="11">
        <v>50</v>
      </c>
      <c r="O80" s="12">
        <v>41</v>
      </c>
      <c r="P80" s="11">
        <v>50</v>
      </c>
      <c r="Q80" s="12">
        <v>41</v>
      </c>
      <c r="R80" s="14">
        <v>300</v>
      </c>
      <c r="S80" s="43">
        <f t="shared" si="41"/>
        <v>207</v>
      </c>
      <c r="T80" s="15">
        <v>50</v>
      </c>
      <c r="U80" s="16">
        <v>39</v>
      </c>
      <c r="V80" s="15">
        <v>50</v>
      </c>
      <c r="W80" s="16">
        <v>34</v>
      </c>
      <c r="X80" s="15">
        <v>50</v>
      </c>
      <c r="Y80" s="16">
        <v>32</v>
      </c>
      <c r="Z80" s="15">
        <v>50</v>
      </c>
      <c r="AA80" s="16">
        <v>42</v>
      </c>
      <c r="AB80" s="15">
        <v>50</v>
      </c>
      <c r="AC80" s="16">
        <v>45</v>
      </c>
      <c r="AD80" s="15">
        <v>50</v>
      </c>
      <c r="AE80" s="16">
        <v>44</v>
      </c>
      <c r="AF80" s="17">
        <v>300</v>
      </c>
      <c r="AG80" s="47">
        <f t="shared" si="42"/>
        <v>236</v>
      </c>
      <c r="AH80" s="18">
        <v>600</v>
      </c>
      <c r="AI80" s="18">
        <f t="shared" si="43"/>
        <v>443</v>
      </c>
      <c r="AJ80" s="19">
        <f t="shared" si="44"/>
        <v>73.833333333333329</v>
      </c>
      <c r="AK80" s="20" t="str">
        <f t="shared" si="45"/>
        <v>B</v>
      </c>
      <c r="AL80" s="20" t="str">
        <f t="shared" si="46"/>
        <v>Pass</v>
      </c>
    </row>
    <row r="81" spans="1:38" ht="15" customHeight="1" x14ac:dyDescent="0.3">
      <c r="A81" s="21" t="s">
        <v>185</v>
      </c>
      <c r="B81" s="22" t="s">
        <v>204</v>
      </c>
      <c r="C81" s="22" t="s">
        <v>205</v>
      </c>
      <c r="D81" s="21" t="s">
        <v>206</v>
      </c>
      <c r="E81" s="21">
        <v>8</v>
      </c>
      <c r="F81" s="11">
        <v>50</v>
      </c>
      <c r="G81" s="12">
        <v>30</v>
      </c>
      <c r="H81" s="11">
        <v>50</v>
      </c>
      <c r="I81" s="12">
        <v>35</v>
      </c>
      <c r="J81" s="11">
        <v>50</v>
      </c>
      <c r="K81" s="12">
        <v>28</v>
      </c>
      <c r="L81" s="11">
        <v>50</v>
      </c>
      <c r="M81" s="12">
        <v>40</v>
      </c>
      <c r="N81" s="11">
        <v>50</v>
      </c>
      <c r="O81" s="12">
        <v>45</v>
      </c>
      <c r="P81" s="11">
        <v>50</v>
      </c>
      <c r="Q81" s="12">
        <v>37</v>
      </c>
      <c r="R81" s="14">
        <v>300</v>
      </c>
      <c r="S81" s="43">
        <f t="shared" si="41"/>
        <v>215</v>
      </c>
      <c r="T81" s="15">
        <v>50</v>
      </c>
      <c r="U81" s="16">
        <v>38</v>
      </c>
      <c r="V81" s="15">
        <v>50</v>
      </c>
      <c r="W81" s="16">
        <v>36</v>
      </c>
      <c r="X81" s="15">
        <v>50</v>
      </c>
      <c r="Y81" s="16">
        <v>47</v>
      </c>
      <c r="Z81" s="15">
        <v>50</v>
      </c>
      <c r="AA81" s="16">
        <v>42</v>
      </c>
      <c r="AB81" s="15">
        <v>50</v>
      </c>
      <c r="AC81" s="16">
        <v>45</v>
      </c>
      <c r="AD81" s="15">
        <v>50</v>
      </c>
      <c r="AE81" s="16">
        <v>48</v>
      </c>
      <c r="AF81" s="17">
        <v>300</v>
      </c>
      <c r="AG81" s="47">
        <f t="shared" si="42"/>
        <v>256</v>
      </c>
      <c r="AH81" s="18">
        <v>600</v>
      </c>
      <c r="AI81" s="18">
        <f t="shared" si="43"/>
        <v>471</v>
      </c>
      <c r="AJ81" s="19">
        <f t="shared" si="44"/>
        <v>78.5</v>
      </c>
      <c r="AK81" s="20" t="str">
        <f t="shared" si="45"/>
        <v>B</v>
      </c>
      <c r="AL81" s="20" t="str">
        <f t="shared" si="46"/>
        <v>Pass</v>
      </c>
    </row>
    <row r="82" spans="1:38" ht="15" customHeight="1" x14ac:dyDescent="0.3">
      <c r="A82" s="9" t="s">
        <v>185</v>
      </c>
      <c r="B82" s="10" t="s">
        <v>207</v>
      </c>
      <c r="C82" s="10" t="s">
        <v>71</v>
      </c>
      <c r="D82" s="9" t="s">
        <v>208</v>
      </c>
      <c r="E82" s="9">
        <v>9</v>
      </c>
      <c r="F82" s="11">
        <v>50</v>
      </c>
      <c r="G82" s="12">
        <v>25</v>
      </c>
      <c r="H82" s="11">
        <v>50</v>
      </c>
      <c r="I82" s="12">
        <v>40</v>
      </c>
      <c r="J82" s="11">
        <v>50</v>
      </c>
      <c r="K82" s="12">
        <v>25</v>
      </c>
      <c r="L82" s="11">
        <v>50</v>
      </c>
      <c r="M82" s="12">
        <v>23</v>
      </c>
      <c r="N82" s="11">
        <v>50</v>
      </c>
      <c r="O82" s="12">
        <v>37</v>
      </c>
      <c r="P82" s="11">
        <v>50</v>
      </c>
      <c r="Q82" s="12">
        <v>43</v>
      </c>
      <c r="R82" s="14">
        <v>300</v>
      </c>
      <c r="S82" s="43">
        <f t="shared" si="41"/>
        <v>193</v>
      </c>
      <c r="T82" s="15">
        <v>50</v>
      </c>
      <c r="U82" s="16">
        <v>40</v>
      </c>
      <c r="V82" s="15">
        <v>50</v>
      </c>
      <c r="W82" s="16">
        <v>36</v>
      </c>
      <c r="X82" s="15">
        <v>50</v>
      </c>
      <c r="Y82" s="16">
        <v>30</v>
      </c>
      <c r="Z82" s="15">
        <v>50</v>
      </c>
      <c r="AA82" s="16">
        <v>40</v>
      </c>
      <c r="AB82" s="15">
        <v>50</v>
      </c>
      <c r="AC82" s="16">
        <v>39</v>
      </c>
      <c r="AD82" s="15">
        <v>50</v>
      </c>
      <c r="AE82" s="16">
        <v>24</v>
      </c>
      <c r="AF82" s="17">
        <v>300</v>
      </c>
      <c r="AG82" s="47">
        <f t="shared" si="42"/>
        <v>209</v>
      </c>
      <c r="AH82" s="18">
        <v>600</v>
      </c>
      <c r="AI82" s="18">
        <f t="shared" si="43"/>
        <v>402</v>
      </c>
      <c r="AJ82" s="19">
        <f t="shared" si="44"/>
        <v>67</v>
      </c>
      <c r="AK82" s="20" t="str">
        <f t="shared" si="45"/>
        <v>B</v>
      </c>
      <c r="AL82" s="20" t="str">
        <f t="shared" si="46"/>
        <v>Pass</v>
      </c>
    </row>
    <row r="83" spans="1:38" ht="15" customHeight="1" x14ac:dyDescent="0.3">
      <c r="A83" s="21" t="s">
        <v>185</v>
      </c>
      <c r="B83" s="22" t="s">
        <v>209</v>
      </c>
      <c r="C83" s="22" t="s">
        <v>191</v>
      </c>
      <c r="D83" s="21" t="s">
        <v>192</v>
      </c>
      <c r="E83" s="21">
        <v>10</v>
      </c>
      <c r="F83" s="11">
        <v>50</v>
      </c>
      <c r="G83" s="12">
        <v>27</v>
      </c>
      <c r="H83" s="11">
        <v>50</v>
      </c>
      <c r="I83" s="12">
        <v>40</v>
      </c>
      <c r="J83" s="11">
        <v>50</v>
      </c>
      <c r="K83" s="12">
        <v>24</v>
      </c>
      <c r="L83" s="11">
        <v>50</v>
      </c>
      <c r="M83" s="12">
        <v>28</v>
      </c>
      <c r="N83" s="11">
        <v>50</v>
      </c>
      <c r="O83" s="12">
        <v>25</v>
      </c>
      <c r="P83" s="11">
        <v>50</v>
      </c>
      <c r="Q83" s="12">
        <v>26</v>
      </c>
      <c r="R83" s="14">
        <v>300</v>
      </c>
      <c r="S83" s="43">
        <f t="shared" si="41"/>
        <v>170</v>
      </c>
      <c r="T83" s="15">
        <v>50</v>
      </c>
      <c r="U83" s="16">
        <v>39</v>
      </c>
      <c r="V83" s="15">
        <v>50</v>
      </c>
      <c r="W83" s="16">
        <v>30</v>
      </c>
      <c r="X83" s="15">
        <v>50</v>
      </c>
      <c r="Y83" s="16">
        <v>39</v>
      </c>
      <c r="Z83" s="15">
        <v>50</v>
      </c>
      <c r="AA83" s="16">
        <v>40</v>
      </c>
      <c r="AB83" s="15">
        <v>50</v>
      </c>
      <c r="AC83" s="16">
        <v>45</v>
      </c>
      <c r="AD83" s="15">
        <v>50</v>
      </c>
      <c r="AE83" s="16">
        <v>30</v>
      </c>
      <c r="AF83" s="17">
        <v>300</v>
      </c>
      <c r="AG83" s="47">
        <f t="shared" si="42"/>
        <v>223</v>
      </c>
      <c r="AH83" s="18">
        <v>600</v>
      </c>
      <c r="AI83" s="18">
        <f t="shared" si="43"/>
        <v>393</v>
      </c>
      <c r="AJ83" s="19">
        <f t="shared" si="44"/>
        <v>65.5</v>
      </c>
      <c r="AK83" s="20" t="str">
        <f t="shared" si="45"/>
        <v>B</v>
      </c>
      <c r="AL83" s="20" t="str">
        <f t="shared" si="46"/>
        <v>Pass</v>
      </c>
    </row>
    <row r="84" spans="1:38" ht="15" customHeight="1" x14ac:dyDescent="0.3">
      <c r="A84" s="9" t="s">
        <v>185</v>
      </c>
      <c r="B84" s="10" t="s">
        <v>210</v>
      </c>
      <c r="C84" s="10" t="s">
        <v>211</v>
      </c>
      <c r="D84" s="9" t="s">
        <v>212</v>
      </c>
      <c r="E84" s="9">
        <v>11</v>
      </c>
      <c r="F84" s="11">
        <v>50</v>
      </c>
      <c r="G84" s="12">
        <v>24</v>
      </c>
      <c r="H84" s="11">
        <v>50</v>
      </c>
      <c r="I84" s="12">
        <v>45</v>
      </c>
      <c r="J84" s="11">
        <v>50</v>
      </c>
      <c r="K84" s="12">
        <v>30</v>
      </c>
      <c r="L84" s="11">
        <v>50</v>
      </c>
      <c r="M84" s="12">
        <v>29</v>
      </c>
      <c r="N84" s="11">
        <v>50</v>
      </c>
      <c r="O84" s="12">
        <v>42</v>
      </c>
      <c r="P84" s="11">
        <v>50</v>
      </c>
      <c r="Q84" s="12">
        <v>36</v>
      </c>
      <c r="R84" s="14">
        <v>300</v>
      </c>
      <c r="S84" s="43">
        <f t="shared" si="41"/>
        <v>206</v>
      </c>
      <c r="T84" s="15">
        <v>50</v>
      </c>
      <c r="U84" s="16">
        <v>40</v>
      </c>
      <c r="V84" s="15">
        <v>50</v>
      </c>
      <c r="W84" s="16">
        <v>35</v>
      </c>
      <c r="X84" s="15">
        <v>50</v>
      </c>
      <c r="Y84" s="16">
        <v>38</v>
      </c>
      <c r="Z84" s="15">
        <v>50</v>
      </c>
      <c r="AA84" s="16">
        <v>42</v>
      </c>
      <c r="AB84" s="15">
        <v>50</v>
      </c>
      <c r="AC84" s="16">
        <v>42</v>
      </c>
      <c r="AD84" s="15">
        <v>50</v>
      </c>
      <c r="AE84" s="16">
        <v>43</v>
      </c>
      <c r="AF84" s="17">
        <v>300</v>
      </c>
      <c r="AG84" s="47">
        <f t="shared" si="42"/>
        <v>240</v>
      </c>
      <c r="AH84" s="18">
        <v>600</v>
      </c>
      <c r="AI84" s="18">
        <f t="shared" si="43"/>
        <v>446</v>
      </c>
      <c r="AJ84" s="19">
        <f t="shared" si="44"/>
        <v>74.333333333333329</v>
      </c>
      <c r="AK84" s="20" t="str">
        <f t="shared" si="45"/>
        <v>B</v>
      </c>
      <c r="AL84" s="20" t="str">
        <f t="shared" si="46"/>
        <v>Pass</v>
      </c>
    </row>
    <row r="85" spans="1:38" ht="15" customHeight="1" x14ac:dyDescent="0.3">
      <c r="A85" s="21" t="s">
        <v>185</v>
      </c>
      <c r="B85" s="22" t="s">
        <v>213</v>
      </c>
      <c r="C85" s="22" t="s">
        <v>214</v>
      </c>
      <c r="D85" s="21" t="s">
        <v>215</v>
      </c>
      <c r="E85" s="21">
        <v>12</v>
      </c>
      <c r="F85" s="11">
        <v>50</v>
      </c>
      <c r="G85" s="12">
        <v>28</v>
      </c>
      <c r="H85" s="11">
        <v>50</v>
      </c>
      <c r="I85" s="12">
        <v>45</v>
      </c>
      <c r="J85" s="11">
        <v>50</v>
      </c>
      <c r="K85" s="12">
        <v>27</v>
      </c>
      <c r="L85" s="11">
        <v>50</v>
      </c>
      <c r="M85" s="12">
        <v>42</v>
      </c>
      <c r="N85" s="11">
        <v>50</v>
      </c>
      <c r="O85" s="12">
        <v>41</v>
      </c>
      <c r="P85" s="11">
        <v>50</v>
      </c>
      <c r="Q85" s="12">
        <v>36</v>
      </c>
      <c r="R85" s="14">
        <v>300</v>
      </c>
      <c r="S85" s="43">
        <f t="shared" si="41"/>
        <v>219</v>
      </c>
      <c r="T85" s="15">
        <v>50</v>
      </c>
      <c r="U85" s="16">
        <v>30</v>
      </c>
      <c r="V85" s="15">
        <v>50</v>
      </c>
      <c r="W85" s="16">
        <v>26</v>
      </c>
      <c r="X85" s="15">
        <v>50</v>
      </c>
      <c r="Y85" s="16">
        <v>30</v>
      </c>
      <c r="Z85" s="15">
        <v>50</v>
      </c>
      <c r="AA85" s="16">
        <v>39</v>
      </c>
      <c r="AB85" s="15">
        <v>50</v>
      </c>
      <c r="AC85" s="16">
        <v>38</v>
      </c>
      <c r="AD85" s="15">
        <v>50</v>
      </c>
      <c r="AE85" s="16">
        <v>22</v>
      </c>
      <c r="AF85" s="17">
        <v>300</v>
      </c>
      <c r="AG85" s="47">
        <f t="shared" si="42"/>
        <v>185</v>
      </c>
      <c r="AH85" s="18">
        <v>600</v>
      </c>
      <c r="AI85" s="18">
        <f t="shared" si="43"/>
        <v>404</v>
      </c>
      <c r="AJ85" s="19">
        <f t="shared" si="44"/>
        <v>67.333333333333329</v>
      </c>
      <c r="AK85" s="20" t="str">
        <f t="shared" si="45"/>
        <v>B</v>
      </c>
      <c r="AL85" s="20" t="str">
        <f t="shared" si="46"/>
        <v>Pass</v>
      </c>
    </row>
    <row r="86" spans="1:38" ht="15" customHeight="1" x14ac:dyDescent="0.3">
      <c r="A86" s="9" t="s">
        <v>185</v>
      </c>
      <c r="B86" s="10" t="s">
        <v>216</v>
      </c>
      <c r="C86" s="10" t="s">
        <v>217</v>
      </c>
      <c r="D86" s="9" t="s">
        <v>218</v>
      </c>
      <c r="E86" s="9">
        <v>13</v>
      </c>
      <c r="F86" s="11">
        <v>50</v>
      </c>
      <c r="G86" s="12">
        <v>24</v>
      </c>
      <c r="H86" s="11">
        <v>50</v>
      </c>
      <c r="I86" s="12">
        <v>25</v>
      </c>
      <c r="J86" s="11">
        <v>50</v>
      </c>
      <c r="K86" s="12">
        <v>29</v>
      </c>
      <c r="L86" s="11">
        <v>50</v>
      </c>
      <c r="M86" s="12">
        <v>27</v>
      </c>
      <c r="N86" s="11">
        <v>50</v>
      </c>
      <c r="O86" s="12">
        <v>33</v>
      </c>
      <c r="P86" s="11">
        <v>50</v>
      </c>
      <c r="Q86" s="12">
        <v>30</v>
      </c>
      <c r="R86" s="14">
        <v>300</v>
      </c>
      <c r="S86" s="43">
        <f t="shared" si="41"/>
        <v>168</v>
      </c>
      <c r="T86" s="15">
        <v>50</v>
      </c>
      <c r="U86" s="16">
        <v>36</v>
      </c>
      <c r="V86" s="15">
        <v>50</v>
      </c>
      <c r="W86" s="16">
        <v>34</v>
      </c>
      <c r="X86" s="15">
        <v>50</v>
      </c>
      <c r="Y86" s="16">
        <v>43</v>
      </c>
      <c r="Z86" s="15">
        <v>50</v>
      </c>
      <c r="AA86" s="16">
        <v>39</v>
      </c>
      <c r="AB86" s="15">
        <v>50</v>
      </c>
      <c r="AC86" s="16">
        <v>42</v>
      </c>
      <c r="AD86" s="15">
        <v>50</v>
      </c>
      <c r="AE86" s="16">
        <v>46</v>
      </c>
      <c r="AF86" s="17">
        <v>300</v>
      </c>
      <c r="AG86" s="47">
        <f t="shared" si="42"/>
        <v>240</v>
      </c>
      <c r="AH86" s="18">
        <v>600</v>
      </c>
      <c r="AI86" s="18">
        <f t="shared" si="43"/>
        <v>408</v>
      </c>
      <c r="AJ86" s="19">
        <f t="shared" si="44"/>
        <v>68</v>
      </c>
      <c r="AK86" s="20" t="str">
        <f t="shared" si="45"/>
        <v>B</v>
      </c>
      <c r="AL86" s="20" t="str">
        <f t="shared" si="46"/>
        <v>Pass</v>
      </c>
    </row>
    <row r="87" spans="1:38" ht="15" customHeight="1" x14ac:dyDescent="0.3">
      <c r="A87" s="21" t="s">
        <v>185</v>
      </c>
      <c r="B87" s="22" t="s">
        <v>219</v>
      </c>
      <c r="C87" s="22" t="s">
        <v>220</v>
      </c>
      <c r="D87" s="21" t="s">
        <v>221</v>
      </c>
      <c r="E87" s="21">
        <v>14</v>
      </c>
      <c r="F87" s="11">
        <v>50</v>
      </c>
      <c r="G87" s="12">
        <v>24</v>
      </c>
      <c r="H87" s="11">
        <v>50</v>
      </c>
      <c r="I87" s="12">
        <v>27</v>
      </c>
      <c r="J87" s="11">
        <v>50</v>
      </c>
      <c r="K87" s="12">
        <v>26</v>
      </c>
      <c r="L87" s="11">
        <v>50</v>
      </c>
      <c r="M87" s="12">
        <v>28</v>
      </c>
      <c r="N87" s="11">
        <v>50</v>
      </c>
      <c r="O87" s="12">
        <v>30</v>
      </c>
      <c r="P87" s="11">
        <v>50</v>
      </c>
      <c r="Q87" s="12">
        <v>33</v>
      </c>
      <c r="R87" s="14">
        <v>300</v>
      </c>
      <c r="S87" s="43">
        <f t="shared" si="41"/>
        <v>168</v>
      </c>
      <c r="T87" s="15">
        <v>50</v>
      </c>
      <c r="U87" s="16">
        <v>38</v>
      </c>
      <c r="V87" s="15">
        <v>50</v>
      </c>
      <c r="W87" s="16">
        <v>37</v>
      </c>
      <c r="X87" s="15">
        <v>50</v>
      </c>
      <c r="Y87" s="16">
        <v>49</v>
      </c>
      <c r="Z87" s="15">
        <v>50</v>
      </c>
      <c r="AA87" s="16">
        <v>45</v>
      </c>
      <c r="AB87" s="15">
        <v>50</v>
      </c>
      <c r="AC87" s="16">
        <v>45</v>
      </c>
      <c r="AD87" s="15">
        <v>50</v>
      </c>
      <c r="AE87" s="16">
        <v>49</v>
      </c>
      <c r="AF87" s="17">
        <v>300</v>
      </c>
      <c r="AG87" s="47">
        <f t="shared" si="42"/>
        <v>263</v>
      </c>
      <c r="AH87" s="18">
        <v>600</v>
      </c>
      <c r="AI87" s="18">
        <f t="shared" si="43"/>
        <v>431</v>
      </c>
      <c r="AJ87" s="19">
        <f t="shared" si="44"/>
        <v>71.833333333333343</v>
      </c>
      <c r="AK87" s="20" t="str">
        <f t="shared" si="45"/>
        <v>B</v>
      </c>
      <c r="AL87" s="20" t="str">
        <f t="shared" si="46"/>
        <v>Pass</v>
      </c>
    </row>
    <row r="88" spans="1:38" ht="14.4" x14ac:dyDescent="0.3">
      <c r="A88" s="9" t="s">
        <v>185</v>
      </c>
      <c r="B88" s="10" t="s">
        <v>222</v>
      </c>
      <c r="C88" s="10" t="s">
        <v>223</v>
      </c>
      <c r="D88" s="9" t="s">
        <v>224</v>
      </c>
      <c r="E88" s="9">
        <v>15</v>
      </c>
      <c r="F88" s="11">
        <v>50</v>
      </c>
      <c r="G88" s="12">
        <v>26</v>
      </c>
      <c r="H88" s="11">
        <v>50</v>
      </c>
      <c r="I88" s="12">
        <v>28</v>
      </c>
      <c r="J88" s="11">
        <v>50</v>
      </c>
      <c r="K88" s="12">
        <v>27</v>
      </c>
      <c r="L88" s="11">
        <v>50</v>
      </c>
      <c r="M88" s="12">
        <v>18</v>
      </c>
      <c r="N88" s="11">
        <v>50</v>
      </c>
      <c r="O88" s="12">
        <v>32</v>
      </c>
      <c r="P88" s="11">
        <v>50</v>
      </c>
      <c r="Q88" s="12">
        <v>33</v>
      </c>
      <c r="R88" s="14">
        <v>300</v>
      </c>
      <c r="S88" s="43">
        <f t="shared" si="41"/>
        <v>164</v>
      </c>
      <c r="T88" s="15">
        <v>50</v>
      </c>
      <c r="U88" s="16">
        <v>24</v>
      </c>
      <c r="V88" s="15">
        <v>50</v>
      </c>
      <c r="W88" s="16">
        <v>0</v>
      </c>
      <c r="X88" s="15">
        <v>50</v>
      </c>
      <c r="Y88" s="16">
        <v>0</v>
      </c>
      <c r="Z88" s="15">
        <v>50</v>
      </c>
      <c r="AA88" s="16">
        <v>0</v>
      </c>
      <c r="AB88" s="15">
        <v>50</v>
      </c>
      <c r="AC88" s="16">
        <v>35</v>
      </c>
      <c r="AD88" s="15">
        <v>50</v>
      </c>
      <c r="AE88" s="16">
        <v>0</v>
      </c>
      <c r="AF88" s="17">
        <v>300</v>
      </c>
      <c r="AG88" s="47">
        <f t="shared" si="42"/>
        <v>59</v>
      </c>
      <c r="AH88" s="18">
        <v>600</v>
      </c>
      <c r="AI88" s="18">
        <f t="shared" si="43"/>
        <v>223</v>
      </c>
      <c r="AJ88" s="19">
        <f t="shared" si="44"/>
        <v>37.166666666666664</v>
      </c>
      <c r="AK88" s="20" t="str">
        <f t="shared" si="45"/>
        <v>D</v>
      </c>
      <c r="AL88" s="20" t="str">
        <f t="shared" si="46"/>
        <v>Pass</v>
      </c>
    </row>
    <row r="89" spans="1:38" ht="16.05" customHeight="1" x14ac:dyDescent="0.45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44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44"/>
      <c r="AH89" s="23"/>
      <c r="AI89" s="23"/>
      <c r="AJ89" s="23"/>
      <c r="AK89" s="23"/>
      <c r="AL89" s="23"/>
    </row>
    <row r="90" spans="1:38" ht="15" customHeight="1" x14ac:dyDescent="0.3">
      <c r="A90" s="8" t="s">
        <v>225</v>
      </c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42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42"/>
      <c r="AH90" s="8"/>
      <c r="AI90" s="8"/>
      <c r="AJ90" s="8"/>
      <c r="AK90" s="8"/>
      <c r="AL90" s="8"/>
    </row>
    <row r="91" spans="1:38" ht="15" customHeight="1" x14ac:dyDescent="0.3">
      <c r="A91" s="21" t="s">
        <v>226</v>
      </c>
      <c r="B91" s="22" t="s">
        <v>227</v>
      </c>
      <c r="C91" s="22" t="s">
        <v>228</v>
      </c>
      <c r="D91" s="21" t="s">
        <v>229</v>
      </c>
      <c r="E91" s="21">
        <v>1</v>
      </c>
      <c r="F91" s="11">
        <v>50</v>
      </c>
      <c r="G91" s="12">
        <v>39</v>
      </c>
      <c r="H91" s="11">
        <v>50</v>
      </c>
      <c r="I91" s="12">
        <v>45</v>
      </c>
      <c r="J91" s="11">
        <v>50</v>
      </c>
      <c r="K91" s="12">
        <v>42</v>
      </c>
      <c r="L91" s="11">
        <v>50</v>
      </c>
      <c r="M91" s="12">
        <v>48</v>
      </c>
      <c r="N91" s="11">
        <v>50</v>
      </c>
      <c r="O91" s="12">
        <v>48</v>
      </c>
      <c r="P91" s="11">
        <v>50</v>
      </c>
      <c r="Q91" s="12">
        <v>48</v>
      </c>
      <c r="R91" s="14">
        <v>300</v>
      </c>
      <c r="S91" s="43">
        <f t="shared" ref="S91:S105" si="47">G91+I91+K91+M91+O91+Q91</f>
        <v>270</v>
      </c>
      <c r="T91" s="15">
        <v>50</v>
      </c>
      <c r="U91" s="16">
        <v>46</v>
      </c>
      <c r="V91" s="15">
        <v>50</v>
      </c>
      <c r="W91" s="16">
        <v>46</v>
      </c>
      <c r="X91" s="15">
        <v>50</v>
      </c>
      <c r="Y91" s="16">
        <v>50</v>
      </c>
      <c r="Z91" s="15">
        <v>50</v>
      </c>
      <c r="AA91" s="16">
        <v>48</v>
      </c>
      <c r="AB91" s="15">
        <v>50</v>
      </c>
      <c r="AC91" s="16">
        <v>47</v>
      </c>
      <c r="AD91" s="15">
        <v>50</v>
      </c>
      <c r="AE91" s="16">
        <v>49</v>
      </c>
      <c r="AF91" s="17">
        <v>300</v>
      </c>
      <c r="AG91" s="47">
        <f t="shared" ref="AG91:AG105" si="48">U91+W91+Y91+AA91+AC91+AE91</f>
        <v>286</v>
      </c>
      <c r="AH91" s="18">
        <v>600</v>
      </c>
      <c r="AI91" s="18">
        <f t="shared" ref="AI91:AI105" si="49">S91+AG91</f>
        <v>556</v>
      </c>
      <c r="AJ91" s="19">
        <f t="shared" ref="AJ91:AJ105" si="50">IF(AH91&gt;0,AI91/AH91*100,0)</f>
        <v>92.666666666666657</v>
      </c>
      <c r="AK91" s="20" t="str">
        <f t="shared" ref="AK91:AK105" si="51">IF(AJ91&gt;=81,"A",IF(AJ91&gt;=61,"B",IF(AJ91&gt;=41,"C",IF(AJ91&gt;=33,"D","E"))))</f>
        <v>A</v>
      </c>
      <c r="AL91" s="20" t="str">
        <f t="shared" ref="AL91:AL105" si="52">IF(AK91="E","Fail","Pass")</f>
        <v>Pass</v>
      </c>
    </row>
    <row r="92" spans="1:38" ht="15" customHeight="1" x14ac:dyDescent="0.3">
      <c r="A92" s="9" t="s">
        <v>226</v>
      </c>
      <c r="B92" s="10" t="s">
        <v>230</v>
      </c>
      <c r="C92" s="10" t="s">
        <v>231</v>
      </c>
      <c r="D92" s="9" t="s">
        <v>232</v>
      </c>
      <c r="E92" s="9">
        <v>2</v>
      </c>
      <c r="F92" s="11">
        <v>50</v>
      </c>
      <c r="G92" s="12">
        <v>37</v>
      </c>
      <c r="H92" s="11">
        <v>50</v>
      </c>
      <c r="I92" s="12">
        <v>45</v>
      </c>
      <c r="J92" s="11">
        <v>50</v>
      </c>
      <c r="K92" s="12">
        <v>41</v>
      </c>
      <c r="L92" s="11">
        <v>50</v>
      </c>
      <c r="M92" s="12">
        <v>46</v>
      </c>
      <c r="N92" s="11">
        <v>50</v>
      </c>
      <c r="O92" s="12">
        <v>49</v>
      </c>
      <c r="P92" s="11">
        <v>50</v>
      </c>
      <c r="Q92" s="12">
        <v>46</v>
      </c>
      <c r="R92" s="14">
        <v>300</v>
      </c>
      <c r="S92" s="43">
        <f t="shared" si="47"/>
        <v>264</v>
      </c>
      <c r="T92" s="15">
        <v>50</v>
      </c>
      <c r="U92" s="16">
        <v>44</v>
      </c>
      <c r="V92" s="15">
        <v>50</v>
      </c>
      <c r="W92" s="16">
        <v>46</v>
      </c>
      <c r="X92" s="15">
        <v>50</v>
      </c>
      <c r="Y92" s="16">
        <v>49</v>
      </c>
      <c r="Z92" s="15">
        <v>50</v>
      </c>
      <c r="AA92" s="16">
        <v>49</v>
      </c>
      <c r="AB92" s="15">
        <v>50</v>
      </c>
      <c r="AC92" s="16">
        <v>48</v>
      </c>
      <c r="AD92" s="15">
        <v>50</v>
      </c>
      <c r="AE92" s="16">
        <v>49</v>
      </c>
      <c r="AF92" s="17">
        <v>300</v>
      </c>
      <c r="AG92" s="47">
        <f t="shared" si="48"/>
        <v>285</v>
      </c>
      <c r="AH92" s="18">
        <v>600</v>
      </c>
      <c r="AI92" s="18">
        <f t="shared" si="49"/>
        <v>549</v>
      </c>
      <c r="AJ92" s="19">
        <f t="shared" si="50"/>
        <v>91.5</v>
      </c>
      <c r="AK92" s="20" t="str">
        <f t="shared" si="51"/>
        <v>A</v>
      </c>
      <c r="AL92" s="20" t="str">
        <f t="shared" si="52"/>
        <v>Pass</v>
      </c>
    </row>
    <row r="93" spans="1:38" ht="15" customHeight="1" x14ac:dyDescent="0.3">
      <c r="A93" s="21" t="s">
        <v>226</v>
      </c>
      <c r="B93" s="22" t="s">
        <v>233</v>
      </c>
      <c r="C93" s="22" t="s">
        <v>164</v>
      </c>
      <c r="D93" s="21" t="s">
        <v>234</v>
      </c>
      <c r="E93" s="21">
        <v>3</v>
      </c>
      <c r="F93" s="11">
        <v>50</v>
      </c>
      <c r="G93" s="12">
        <v>40</v>
      </c>
      <c r="H93" s="11">
        <v>50</v>
      </c>
      <c r="I93" s="12">
        <v>40</v>
      </c>
      <c r="J93" s="11">
        <v>50</v>
      </c>
      <c r="K93" s="12">
        <v>36</v>
      </c>
      <c r="L93" s="11">
        <v>50</v>
      </c>
      <c r="M93" s="12">
        <v>45</v>
      </c>
      <c r="N93" s="11">
        <v>50</v>
      </c>
      <c r="O93" s="12">
        <v>42</v>
      </c>
      <c r="P93" s="11">
        <v>50</v>
      </c>
      <c r="Q93" s="12">
        <v>38</v>
      </c>
      <c r="R93" s="14">
        <v>300</v>
      </c>
      <c r="S93" s="43">
        <f t="shared" si="47"/>
        <v>241</v>
      </c>
      <c r="T93" s="15">
        <v>50</v>
      </c>
      <c r="U93" s="16">
        <v>38</v>
      </c>
      <c r="V93" s="15">
        <v>50</v>
      </c>
      <c r="W93" s="16">
        <v>43</v>
      </c>
      <c r="X93" s="15">
        <v>50</v>
      </c>
      <c r="Y93" s="16">
        <v>49</v>
      </c>
      <c r="Z93" s="15">
        <v>50</v>
      </c>
      <c r="AA93" s="16">
        <v>48</v>
      </c>
      <c r="AB93" s="15">
        <v>50</v>
      </c>
      <c r="AC93" s="16">
        <v>45</v>
      </c>
      <c r="AD93" s="15">
        <v>50</v>
      </c>
      <c r="AE93" s="16">
        <v>45</v>
      </c>
      <c r="AF93" s="17">
        <v>300</v>
      </c>
      <c r="AG93" s="47">
        <f t="shared" si="48"/>
        <v>268</v>
      </c>
      <c r="AH93" s="18">
        <v>600</v>
      </c>
      <c r="AI93" s="18">
        <f t="shared" si="49"/>
        <v>509</v>
      </c>
      <c r="AJ93" s="19">
        <f t="shared" si="50"/>
        <v>84.833333333333343</v>
      </c>
      <c r="AK93" s="20" t="str">
        <f t="shared" si="51"/>
        <v>A</v>
      </c>
      <c r="AL93" s="20" t="str">
        <f t="shared" si="52"/>
        <v>Pass</v>
      </c>
    </row>
    <row r="94" spans="1:38" ht="15" customHeight="1" x14ac:dyDescent="0.3">
      <c r="A94" s="9" t="s">
        <v>226</v>
      </c>
      <c r="B94" s="10" t="s">
        <v>133</v>
      </c>
      <c r="C94" s="10" t="s">
        <v>235</v>
      </c>
      <c r="D94" s="9" t="s">
        <v>236</v>
      </c>
      <c r="E94" s="9">
        <v>4</v>
      </c>
      <c r="F94" s="11">
        <v>50</v>
      </c>
      <c r="G94" s="12">
        <v>36</v>
      </c>
      <c r="H94" s="11">
        <v>50</v>
      </c>
      <c r="I94" s="12">
        <v>45</v>
      </c>
      <c r="J94" s="11">
        <v>50</v>
      </c>
      <c r="K94" s="12">
        <v>39</v>
      </c>
      <c r="L94" s="11">
        <v>50</v>
      </c>
      <c r="M94" s="12">
        <v>49</v>
      </c>
      <c r="N94" s="11">
        <v>50</v>
      </c>
      <c r="O94" s="12">
        <v>49</v>
      </c>
      <c r="P94" s="11">
        <v>50</v>
      </c>
      <c r="Q94" s="12">
        <v>38</v>
      </c>
      <c r="R94" s="14">
        <v>300</v>
      </c>
      <c r="S94" s="43">
        <f t="shared" si="47"/>
        <v>256</v>
      </c>
      <c r="T94" s="15">
        <v>50</v>
      </c>
      <c r="U94" s="16">
        <v>37</v>
      </c>
      <c r="V94" s="15">
        <v>50</v>
      </c>
      <c r="W94" s="16">
        <v>43</v>
      </c>
      <c r="X94" s="15">
        <v>50</v>
      </c>
      <c r="Y94" s="16">
        <v>42</v>
      </c>
      <c r="Z94" s="15">
        <v>50</v>
      </c>
      <c r="AA94" s="16">
        <v>46</v>
      </c>
      <c r="AB94" s="15">
        <v>50</v>
      </c>
      <c r="AC94" s="16">
        <v>46</v>
      </c>
      <c r="AD94" s="15">
        <v>50</v>
      </c>
      <c r="AE94" s="16">
        <v>47</v>
      </c>
      <c r="AF94" s="17">
        <v>300</v>
      </c>
      <c r="AG94" s="47">
        <f t="shared" si="48"/>
        <v>261</v>
      </c>
      <c r="AH94" s="18">
        <v>600</v>
      </c>
      <c r="AI94" s="18">
        <f t="shared" si="49"/>
        <v>517</v>
      </c>
      <c r="AJ94" s="19">
        <f t="shared" si="50"/>
        <v>86.166666666666671</v>
      </c>
      <c r="AK94" s="20" t="str">
        <f t="shared" si="51"/>
        <v>A</v>
      </c>
      <c r="AL94" s="20" t="str">
        <f t="shared" si="52"/>
        <v>Pass</v>
      </c>
    </row>
    <row r="95" spans="1:38" ht="15" customHeight="1" x14ac:dyDescent="0.3">
      <c r="A95" s="21" t="s">
        <v>226</v>
      </c>
      <c r="B95" s="22" t="s">
        <v>237</v>
      </c>
      <c r="C95" s="22" t="s">
        <v>220</v>
      </c>
      <c r="D95" s="21" t="s">
        <v>238</v>
      </c>
      <c r="E95" s="21">
        <v>5</v>
      </c>
      <c r="F95" s="11">
        <v>50</v>
      </c>
      <c r="G95" s="12">
        <v>39</v>
      </c>
      <c r="H95" s="11">
        <v>50</v>
      </c>
      <c r="I95" s="12">
        <v>45</v>
      </c>
      <c r="J95" s="11">
        <v>50</v>
      </c>
      <c r="K95" s="12">
        <v>37</v>
      </c>
      <c r="L95" s="11">
        <v>50</v>
      </c>
      <c r="M95" s="12">
        <v>43</v>
      </c>
      <c r="N95" s="11">
        <v>50</v>
      </c>
      <c r="O95" s="12">
        <v>45</v>
      </c>
      <c r="P95" s="11">
        <v>50</v>
      </c>
      <c r="Q95" s="12">
        <v>37</v>
      </c>
      <c r="R95" s="14">
        <v>300</v>
      </c>
      <c r="S95" s="43">
        <f t="shared" si="47"/>
        <v>246</v>
      </c>
      <c r="T95" s="15">
        <v>50</v>
      </c>
      <c r="U95" s="16">
        <v>39</v>
      </c>
      <c r="V95" s="15">
        <v>50</v>
      </c>
      <c r="W95" s="16">
        <v>43</v>
      </c>
      <c r="X95" s="15">
        <v>50</v>
      </c>
      <c r="Y95" s="16">
        <v>49</v>
      </c>
      <c r="Z95" s="15">
        <v>50</v>
      </c>
      <c r="AA95" s="16">
        <v>49</v>
      </c>
      <c r="AB95" s="15">
        <v>50</v>
      </c>
      <c r="AC95" s="16">
        <v>48</v>
      </c>
      <c r="AD95" s="15">
        <v>50</v>
      </c>
      <c r="AE95" s="16">
        <v>48</v>
      </c>
      <c r="AF95" s="17">
        <v>300</v>
      </c>
      <c r="AG95" s="47">
        <f t="shared" si="48"/>
        <v>276</v>
      </c>
      <c r="AH95" s="18">
        <v>600</v>
      </c>
      <c r="AI95" s="18">
        <f t="shared" si="49"/>
        <v>522</v>
      </c>
      <c r="AJ95" s="19">
        <f t="shared" si="50"/>
        <v>87</v>
      </c>
      <c r="AK95" s="20" t="str">
        <f t="shared" si="51"/>
        <v>A</v>
      </c>
      <c r="AL95" s="20" t="str">
        <f t="shared" si="52"/>
        <v>Pass</v>
      </c>
    </row>
    <row r="96" spans="1:38" ht="15" customHeight="1" x14ac:dyDescent="0.3">
      <c r="A96" s="9" t="s">
        <v>226</v>
      </c>
      <c r="B96" s="10" t="s">
        <v>239</v>
      </c>
      <c r="C96" s="10" t="s">
        <v>240</v>
      </c>
      <c r="D96" s="9" t="s">
        <v>241</v>
      </c>
      <c r="E96" s="9">
        <v>6</v>
      </c>
      <c r="F96" s="11">
        <v>50</v>
      </c>
      <c r="G96" s="12">
        <v>37</v>
      </c>
      <c r="H96" s="11">
        <v>50</v>
      </c>
      <c r="I96" s="12">
        <v>42</v>
      </c>
      <c r="J96" s="11">
        <v>50</v>
      </c>
      <c r="K96" s="12">
        <v>31</v>
      </c>
      <c r="L96" s="11">
        <v>50</v>
      </c>
      <c r="M96" s="12">
        <v>37</v>
      </c>
      <c r="N96" s="11">
        <v>50</v>
      </c>
      <c r="O96" s="12">
        <v>37</v>
      </c>
      <c r="P96" s="11">
        <v>50</v>
      </c>
      <c r="Q96" s="12">
        <v>35</v>
      </c>
      <c r="R96" s="14">
        <v>300</v>
      </c>
      <c r="S96" s="43">
        <f t="shared" si="47"/>
        <v>219</v>
      </c>
      <c r="T96" s="15">
        <v>50</v>
      </c>
      <c r="U96" s="16">
        <v>43</v>
      </c>
      <c r="V96" s="15">
        <v>50</v>
      </c>
      <c r="W96" s="16">
        <v>46</v>
      </c>
      <c r="X96" s="15">
        <v>50</v>
      </c>
      <c r="Y96" s="16">
        <v>49</v>
      </c>
      <c r="Z96" s="15">
        <v>50</v>
      </c>
      <c r="AA96" s="16">
        <v>48</v>
      </c>
      <c r="AB96" s="15">
        <v>50</v>
      </c>
      <c r="AC96" s="16">
        <v>42</v>
      </c>
      <c r="AD96" s="15">
        <v>50</v>
      </c>
      <c r="AE96" s="16">
        <v>42</v>
      </c>
      <c r="AF96" s="17">
        <v>300</v>
      </c>
      <c r="AG96" s="47">
        <f t="shared" si="48"/>
        <v>270</v>
      </c>
      <c r="AH96" s="18">
        <v>600</v>
      </c>
      <c r="AI96" s="18">
        <f t="shared" si="49"/>
        <v>489</v>
      </c>
      <c r="AJ96" s="19">
        <f t="shared" si="50"/>
        <v>81.5</v>
      </c>
      <c r="AK96" s="20" t="str">
        <f t="shared" si="51"/>
        <v>A</v>
      </c>
      <c r="AL96" s="20" t="str">
        <f t="shared" si="52"/>
        <v>Pass</v>
      </c>
    </row>
    <row r="97" spans="1:38" ht="15" customHeight="1" x14ac:dyDescent="0.3">
      <c r="A97" s="21" t="s">
        <v>226</v>
      </c>
      <c r="B97" s="22" t="s">
        <v>242</v>
      </c>
      <c r="C97" s="22" t="s">
        <v>107</v>
      </c>
      <c r="D97" s="21" t="s">
        <v>195</v>
      </c>
      <c r="E97" s="21">
        <v>7</v>
      </c>
      <c r="F97" s="11">
        <v>50</v>
      </c>
      <c r="G97" s="12">
        <v>37</v>
      </c>
      <c r="H97" s="11">
        <v>50</v>
      </c>
      <c r="I97" s="12">
        <v>42</v>
      </c>
      <c r="J97" s="11">
        <v>50</v>
      </c>
      <c r="K97" s="12">
        <v>33</v>
      </c>
      <c r="L97" s="11">
        <v>50</v>
      </c>
      <c r="M97" s="12">
        <v>39</v>
      </c>
      <c r="N97" s="11">
        <v>50</v>
      </c>
      <c r="O97" s="12">
        <v>39</v>
      </c>
      <c r="P97" s="11">
        <v>50</v>
      </c>
      <c r="Q97" s="12">
        <v>31</v>
      </c>
      <c r="R97" s="14">
        <v>300</v>
      </c>
      <c r="S97" s="43">
        <f t="shared" si="47"/>
        <v>221</v>
      </c>
      <c r="T97" s="15">
        <v>50</v>
      </c>
      <c r="U97" s="16">
        <v>44</v>
      </c>
      <c r="V97" s="15">
        <v>50</v>
      </c>
      <c r="W97" s="16">
        <v>33</v>
      </c>
      <c r="X97" s="15">
        <v>50</v>
      </c>
      <c r="Y97" s="16">
        <v>48</v>
      </c>
      <c r="Z97" s="15">
        <v>50</v>
      </c>
      <c r="AA97" s="16">
        <v>49</v>
      </c>
      <c r="AB97" s="15">
        <v>50</v>
      </c>
      <c r="AC97" s="16">
        <v>42</v>
      </c>
      <c r="AD97" s="15">
        <v>50</v>
      </c>
      <c r="AE97" s="16">
        <v>43</v>
      </c>
      <c r="AF97" s="17">
        <v>300</v>
      </c>
      <c r="AG97" s="47">
        <f t="shared" si="48"/>
        <v>259</v>
      </c>
      <c r="AH97" s="18">
        <v>600</v>
      </c>
      <c r="AI97" s="18">
        <f t="shared" si="49"/>
        <v>480</v>
      </c>
      <c r="AJ97" s="19">
        <f t="shared" si="50"/>
        <v>80</v>
      </c>
      <c r="AK97" s="20" t="str">
        <f t="shared" si="51"/>
        <v>B</v>
      </c>
      <c r="AL97" s="20" t="str">
        <f t="shared" si="52"/>
        <v>Pass</v>
      </c>
    </row>
    <row r="98" spans="1:38" ht="15" customHeight="1" x14ac:dyDescent="0.3">
      <c r="A98" s="9" t="s">
        <v>226</v>
      </c>
      <c r="B98" s="10" t="s">
        <v>233</v>
      </c>
      <c r="C98" s="10" t="s">
        <v>243</v>
      </c>
      <c r="D98" s="9" t="s">
        <v>244</v>
      </c>
      <c r="E98" s="9">
        <v>8</v>
      </c>
      <c r="F98" s="11">
        <v>50</v>
      </c>
      <c r="G98" s="12">
        <v>38</v>
      </c>
      <c r="H98" s="11">
        <v>50</v>
      </c>
      <c r="I98" s="12">
        <v>40</v>
      </c>
      <c r="J98" s="11">
        <v>50</v>
      </c>
      <c r="K98" s="12">
        <v>29</v>
      </c>
      <c r="L98" s="11">
        <v>50</v>
      </c>
      <c r="M98" s="12">
        <v>36</v>
      </c>
      <c r="N98" s="11">
        <v>50</v>
      </c>
      <c r="O98" s="12">
        <v>42</v>
      </c>
      <c r="P98" s="11">
        <v>50</v>
      </c>
      <c r="Q98" s="12">
        <v>38</v>
      </c>
      <c r="R98" s="14">
        <v>300</v>
      </c>
      <c r="S98" s="43">
        <f t="shared" si="47"/>
        <v>223</v>
      </c>
      <c r="T98" s="15">
        <v>50</v>
      </c>
      <c r="U98" s="16">
        <v>40</v>
      </c>
      <c r="V98" s="15">
        <v>50</v>
      </c>
      <c r="W98" s="16">
        <v>43</v>
      </c>
      <c r="X98" s="15">
        <v>50</v>
      </c>
      <c r="Y98" s="16">
        <v>49</v>
      </c>
      <c r="Z98" s="15">
        <v>50</v>
      </c>
      <c r="AA98" s="16">
        <v>48</v>
      </c>
      <c r="AB98" s="15">
        <v>50</v>
      </c>
      <c r="AC98" s="16">
        <v>37</v>
      </c>
      <c r="AD98" s="15">
        <v>50</v>
      </c>
      <c r="AE98" s="16">
        <v>45</v>
      </c>
      <c r="AF98" s="17">
        <v>300</v>
      </c>
      <c r="AG98" s="47">
        <f t="shared" si="48"/>
        <v>262</v>
      </c>
      <c r="AH98" s="18">
        <v>600</v>
      </c>
      <c r="AI98" s="18">
        <f t="shared" si="49"/>
        <v>485</v>
      </c>
      <c r="AJ98" s="19">
        <f t="shared" si="50"/>
        <v>80.833333333333329</v>
      </c>
      <c r="AK98" s="20" t="str">
        <f t="shared" si="51"/>
        <v>B</v>
      </c>
      <c r="AL98" s="20" t="str">
        <f t="shared" si="52"/>
        <v>Pass</v>
      </c>
    </row>
    <row r="99" spans="1:38" ht="15" customHeight="1" x14ac:dyDescent="0.3">
      <c r="A99" s="21" t="s">
        <v>226</v>
      </c>
      <c r="B99" s="22" t="s">
        <v>245</v>
      </c>
      <c r="C99" s="22" t="s">
        <v>246</v>
      </c>
      <c r="D99" s="21" t="s">
        <v>195</v>
      </c>
      <c r="E99" s="21">
        <v>9</v>
      </c>
      <c r="F99" s="11">
        <v>50</v>
      </c>
      <c r="G99" s="12">
        <v>32</v>
      </c>
      <c r="H99" s="11">
        <v>50</v>
      </c>
      <c r="I99" s="12">
        <v>40</v>
      </c>
      <c r="J99" s="11">
        <v>50</v>
      </c>
      <c r="K99" s="12">
        <v>22</v>
      </c>
      <c r="L99" s="11">
        <v>50</v>
      </c>
      <c r="M99" s="12">
        <v>34</v>
      </c>
      <c r="N99" s="11">
        <v>50</v>
      </c>
      <c r="O99" s="12">
        <v>40</v>
      </c>
      <c r="P99" s="11">
        <v>50</v>
      </c>
      <c r="Q99" s="12">
        <v>34</v>
      </c>
      <c r="R99" s="14">
        <v>300</v>
      </c>
      <c r="S99" s="43">
        <f t="shared" si="47"/>
        <v>202</v>
      </c>
      <c r="T99" s="15">
        <v>50</v>
      </c>
      <c r="U99" s="16">
        <v>27</v>
      </c>
      <c r="V99" s="15">
        <v>50</v>
      </c>
      <c r="W99" s="16">
        <v>34</v>
      </c>
      <c r="X99" s="15">
        <v>50</v>
      </c>
      <c r="Y99" s="16">
        <v>48</v>
      </c>
      <c r="Z99" s="15">
        <v>50</v>
      </c>
      <c r="AA99" s="16">
        <v>44</v>
      </c>
      <c r="AB99" s="15">
        <v>50</v>
      </c>
      <c r="AC99" s="16">
        <v>40</v>
      </c>
      <c r="AD99" s="15">
        <v>50</v>
      </c>
      <c r="AE99" s="16">
        <v>41</v>
      </c>
      <c r="AF99" s="17">
        <v>300</v>
      </c>
      <c r="AG99" s="47">
        <f t="shared" si="48"/>
        <v>234</v>
      </c>
      <c r="AH99" s="18">
        <v>600</v>
      </c>
      <c r="AI99" s="18">
        <f t="shared" si="49"/>
        <v>436</v>
      </c>
      <c r="AJ99" s="19">
        <f t="shared" si="50"/>
        <v>72.666666666666671</v>
      </c>
      <c r="AK99" s="20" t="str">
        <f t="shared" si="51"/>
        <v>B</v>
      </c>
      <c r="AL99" s="20" t="str">
        <f t="shared" si="52"/>
        <v>Pass</v>
      </c>
    </row>
    <row r="100" spans="1:38" ht="15" customHeight="1" x14ac:dyDescent="0.3">
      <c r="A100" s="9" t="s">
        <v>226</v>
      </c>
      <c r="B100" s="10" t="s">
        <v>247</v>
      </c>
      <c r="C100" s="10" t="s">
        <v>248</v>
      </c>
      <c r="D100" s="9" t="s">
        <v>249</v>
      </c>
      <c r="E100" s="9">
        <v>10</v>
      </c>
      <c r="F100" s="11">
        <v>50</v>
      </c>
      <c r="G100" s="12">
        <v>37</v>
      </c>
      <c r="H100" s="11">
        <v>50</v>
      </c>
      <c r="I100" s="12">
        <v>41</v>
      </c>
      <c r="J100" s="11">
        <v>50</v>
      </c>
      <c r="K100" s="12">
        <v>36</v>
      </c>
      <c r="L100" s="11">
        <v>50</v>
      </c>
      <c r="M100" s="12">
        <v>42</v>
      </c>
      <c r="N100" s="11">
        <v>50</v>
      </c>
      <c r="O100" s="12">
        <v>42</v>
      </c>
      <c r="P100" s="11">
        <v>50</v>
      </c>
      <c r="Q100" s="12">
        <v>38</v>
      </c>
      <c r="R100" s="14">
        <v>300</v>
      </c>
      <c r="S100" s="43">
        <f t="shared" si="47"/>
        <v>236</v>
      </c>
      <c r="T100" s="15">
        <v>50</v>
      </c>
      <c r="U100" s="16">
        <v>45</v>
      </c>
      <c r="V100" s="15">
        <v>50</v>
      </c>
      <c r="W100" s="16">
        <v>32</v>
      </c>
      <c r="X100" s="15">
        <v>50</v>
      </c>
      <c r="Y100" s="16">
        <v>49</v>
      </c>
      <c r="Z100" s="15">
        <v>50</v>
      </c>
      <c r="AA100" s="16">
        <v>48</v>
      </c>
      <c r="AB100" s="15">
        <v>50</v>
      </c>
      <c r="AC100" s="16">
        <v>42</v>
      </c>
      <c r="AD100" s="15">
        <v>50</v>
      </c>
      <c r="AE100" s="16">
        <v>44</v>
      </c>
      <c r="AF100" s="17">
        <v>300</v>
      </c>
      <c r="AG100" s="47">
        <f t="shared" si="48"/>
        <v>260</v>
      </c>
      <c r="AH100" s="18">
        <v>600</v>
      </c>
      <c r="AI100" s="18">
        <f t="shared" si="49"/>
        <v>496</v>
      </c>
      <c r="AJ100" s="19">
        <f t="shared" si="50"/>
        <v>82.666666666666671</v>
      </c>
      <c r="AK100" s="20" t="str">
        <f t="shared" si="51"/>
        <v>A</v>
      </c>
      <c r="AL100" s="20" t="str">
        <f t="shared" si="52"/>
        <v>Pass</v>
      </c>
    </row>
    <row r="101" spans="1:38" ht="15" customHeight="1" x14ac:dyDescent="0.3">
      <c r="A101" s="21" t="s">
        <v>226</v>
      </c>
      <c r="B101" s="22" t="s">
        <v>242</v>
      </c>
      <c r="C101" s="22" t="s">
        <v>197</v>
      </c>
      <c r="D101" s="21" t="s">
        <v>250</v>
      </c>
      <c r="E101" s="21">
        <v>11</v>
      </c>
      <c r="F101" s="11">
        <v>50</v>
      </c>
      <c r="G101" s="12">
        <v>36</v>
      </c>
      <c r="H101" s="11">
        <v>50</v>
      </c>
      <c r="I101" s="12">
        <v>39</v>
      </c>
      <c r="J101" s="11">
        <v>50</v>
      </c>
      <c r="K101" s="12">
        <v>34</v>
      </c>
      <c r="L101" s="11">
        <v>50</v>
      </c>
      <c r="M101" s="12">
        <v>41</v>
      </c>
      <c r="N101" s="11">
        <v>50</v>
      </c>
      <c r="O101" s="12">
        <v>41</v>
      </c>
      <c r="P101" s="11">
        <v>50</v>
      </c>
      <c r="Q101" s="12">
        <v>35</v>
      </c>
      <c r="R101" s="14">
        <v>300</v>
      </c>
      <c r="S101" s="43">
        <f t="shared" si="47"/>
        <v>226</v>
      </c>
      <c r="T101" s="15">
        <v>50</v>
      </c>
      <c r="U101" s="16">
        <v>43</v>
      </c>
      <c r="V101" s="15">
        <v>50</v>
      </c>
      <c r="W101" s="16">
        <v>39</v>
      </c>
      <c r="X101" s="15">
        <v>50</v>
      </c>
      <c r="Y101" s="16">
        <v>49</v>
      </c>
      <c r="Z101" s="15">
        <v>50</v>
      </c>
      <c r="AA101" s="16">
        <v>46</v>
      </c>
      <c r="AB101" s="15">
        <v>50</v>
      </c>
      <c r="AC101" s="16">
        <v>41</v>
      </c>
      <c r="AD101" s="15">
        <v>50</v>
      </c>
      <c r="AE101" s="16">
        <v>43</v>
      </c>
      <c r="AF101" s="17">
        <v>300</v>
      </c>
      <c r="AG101" s="47">
        <f t="shared" si="48"/>
        <v>261</v>
      </c>
      <c r="AH101" s="18">
        <v>600</v>
      </c>
      <c r="AI101" s="18">
        <f t="shared" si="49"/>
        <v>487</v>
      </c>
      <c r="AJ101" s="19">
        <f t="shared" si="50"/>
        <v>81.166666666666671</v>
      </c>
      <c r="AK101" s="20" t="str">
        <f t="shared" si="51"/>
        <v>A</v>
      </c>
      <c r="AL101" s="20" t="str">
        <f t="shared" si="52"/>
        <v>Pass</v>
      </c>
    </row>
    <row r="102" spans="1:38" ht="15" customHeight="1" x14ac:dyDescent="0.3">
      <c r="A102" s="9" t="s">
        <v>226</v>
      </c>
      <c r="B102" s="10" t="s">
        <v>245</v>
      </c>
      <c r="C102" s="10" t="s">
        <v>251</v>
      </c>
      <c r="D102" s="9" t="s">
        <v>252</v>
      </c>
      <c r="E102" s="9">
        <v>12</v>
      </c>
      <c r="F102" s="11">
        <v>50</v>
      </c>
      <c r="G102" s="12">
        <v>36</v>
      </c>
      <c r="H102" s="11">
        <v>50</v>
      </c>
      <c r="I102" s="12">
        <v>39</v>
      </c>
      <c r="J102" s="11">
        <v>50</v>
      </c>
      <c r="K102" s="12">
        <v>33</v>
      </c>
      <c r="L102" s="11">
        <v>50</v>
      </c>
      <c r="M102" s="12">
        <v>36</v>
      </c>
      <c r="N102" s="11">
        <v>50</v>
      </c>
      <c r="O102" s="12">
        <v>30</v>
      </c>
      <c r="P102" s="11">
        <v>50</v>
      </c>
      <c r="Q102" s="12">
        <v>33</v>
      </c>
      <c r="R102" s="14">
        <v>300</v>
      </c>
      <c r="S102" s="43">
        <f t="shared" si="47"/>
        <v>207</v>
      </c>
      <c r="T102" s="15">
        <v>50</v>
      </c>
      <c r="U102" s="16">
        <v>39</v>
      </c>
      <c r="V102" s="15">
        <v>50</v>
      </c>
      <c r="W102" s="16">
        <v>43</v>
      </c>
      <c r="X102" s="15">
        <v>50</v>
      </c>
      <c r="Y102" s="16">
        <v>48</v>
      </c>
      <c r="Z102" s="15">
        <v>50</v>
      </c>
      <c r="AA102" s="16">
        <v>45</v>
      </c>
      <c r="AB102" s="15">
        <v>50</v>
      </c>
      <c r="AC102" s="16">
        <v>40</v>
      </c>
      <c r="AD102" s="15">
        <v>50</v>
      </c>
      <c r="AE102" s="16">
        <v>43</v>
      </c>
      <c r="AF102" s="17">
        <v>300</v>
      </c>
      <c r="AG102" s="47">
        <f t="shared" si="48"/>
        <v>258</v>
      </c>
      <c r="AH102" s="18">
        <v>600</v>
      </c>
      <c r="AI102" s="18">
        <f t="shared" si="49"/>
        <v>465</v>
      </c>
      <c r="AJ102" s="19">
        <f t="shared" si="50"/>
        <v>77.5</v>
      </c>
      <c r="AK102" s="20" t="str">
        <f t="shared" si="51"/>
        <v>B</v>
      </c>
      <c r="AL102" s="20" t="str">
        <f t="shared" si="52"/>
        <v>Pass</v>
      </c>
    </row>
    <row r="103" spans="1:38" ht="15" customHeight="1" x14ac:dyDescent="0.3">
      <c r="A103" s="21" t="s">
        <v>226</v>
      </c>
      <c r="B103" s="22" t="s">
        <v>253</v>
      </c>
      <c r="C103" s="22" t="s">
        <v>254</v>
      </c>
      <c r="D103" s="21" t="s">
        <v>255</v>
      </c>
      <c r="E103" s="21">
        <v>13</v>
      </c>
      <c r="F103" s="11">
        <v>50</v>
      </c>
      <c r="G103" s="12">
        <v>37</v>
      </c>
      <c r="H103" s="11">
        <v>50</v>
      </c>
      <c r="I103" s="12">
        <v>38</v>
      </c>
      <c r="J103" s="11">
        <v>50</v>
      </c>
      <c r="K103" s="12">
        <v>32</v>
      </c>
      <c r="L103" s="11">
        <v>50</v>
      </c>
      <c r="M103" s="12">
        <v>30</v>
      </c>
      <c r="N103" s="11">
        <v>50</v>
      </c>
      <c r="O103" s="12">
        <v>30</v>
      </c>
      <c r="P103" s="11">
        <v>50</v>
      </c>
      <c r="Q103" s="12">
        <v>33</v>
      </c>
      <c r="R103" s="14">
        <v>300</v>
      </c>
      <c r="S103" s="43">
        <f t="shared" si="47"/>
        <v>200</v>
      </c>
      <c r="T103" s="15">
        <v>50</v>
      </c>
      <c r="U103" s="16">
        <v>35</v>
      </c>
      <c r="V103" s="15">
        <v>50</v>
      </c>
      <c r="W103" s="16">
        <v>34</v>
      </c>
      <c r="X103" s="15">
        <v>50</v>
      </c>
      <c r="Y103" s="16">
        <v>38</v>
      </c>
      <c r="Z103" s="15">
        <v>50</v>
      </c>
      <c r="AA103" s="16">
        <v>33</v>
      </c>
      <c r="AB103" s="15">
        <v>50</v>
      </c>
      <c r="AC103" s="16">
        <v>32</v>
      </c>
      <c r="AD103" s="15">
        <v>50</v>
      </c>
      <c r="AE103" s="16">
        <v>39</v>
      </c>
      <c r="AF103" s="17">
        <v>300</v>
      </c>
      <c r="AG103" s="47">
        <f t="shared" si="48"/>
        <v>211</v>
      </c>
      <c r="AH103" s="18">
        <v>600</v>
      </c>
      <c r="AI103" s="18">
        <f t="shared" si="49"/>
        <v>411</v>
      </c>
      <c r="AJ103" s="19">
        <f t="shared" si="50"/>
        <v>68.5</v>
      </c>
      <c r="AK103" s="20" t="str">
        <f t="shared" si="51"/>
        <v>B</v>
      </c>
      <c r="AL103" s="20" t="str">
        <f t="shared" si="52"/>
        <v>Pass</v>
      </c>
    </row>
    <row r="104" spans="1:38" ht="15" customHeight="1" x14ac:dyDescent="0.3">
      <c r="A104" s="9" t="s">
        <v>226</v>
      </c>
      <c r="B104" s="10" t="s">
        <v>256</v>
      </c>
      <c r="C104" s="10" t="s">
        <v>205</v>
      </c>
      <c r="D104" s="9" t="s">
        <v>257</v>
      </c>
      <c r="E104" s="9">
        <v>14</v>
      </c>
      <c r="F104" s="11">
        <v>50</v>
      </c>
      <c r="G104" s="12">
        <v>36</v>
      </c>
      <c r="H104" s="11">
        <v>50</v>
      </c>
      <c r="I104" s="12">
        <v>41</v>
      </c>
      <c r="J104" s="11">
        <v>50</v>
      </c>
      <c r="K104" s="12">
        <v>26</v>
      </c>
      <c r="L104" s="11">
        <v>50</v>
      </c>
      <c r="M104" s="12">
        <v>40</v>
      </c>
      <c r="N104" s="11">
        <v>50</v>
      </c>
      <c r="O104" s="12">
        <v>37</v>
      </c>
      <c r="P104" s="11">
        <v>50</v>
      </c>
      <c r="Q104" s="12">
        <v>32</v>
      </c>
      <c r="R104" s="14">
        <v>300</v>
      </c>
      <c r="S104" s="43">
        <f t="shared" si="47"/>
        <v>212</v>
      </c>
      <c r="T104" s="15">
        <v>50</v>
      </c>
      <c r="U104" s="16">
        <v>42</v>
      </c>
      <c r="V104" s="15">
        <v>50</v>
      </c>
      <c r="W104" s="16">
        <v>39</v>
      </c>
      <c r="X104" s="15">
        <v>50</v>
      </c>
      <c r="Y104" s="16">
        <v>48</v>
      </c>
      <c r="Z104" s="15">
        <v>50</v>
      </c>
      <c r="AA104" s="16">
        <v>46</v>
      </c>
      <c r="AB104" s="15">
        <v>50</v>
      </c>
      <c r="AC104" s="16">
        <v>40</v>
      </c>
      <c r="AD104" s="15">
        <v>50</v>
      </c>
      <c r="AE104" s="16">
        <v>40</v>
      </c>
      <c r="AF104" s="17">
        <v>300</v>
      </c>
      <c r="AG104" s="47">
        <f t="shared" si="48"/>
        <v>255</v>
      </c>
      <c r="AH104" s="18">
        <v>600</v>
      </c>
      <c r="AI104" s="18">
        <f t="shared" si="49"/>
        <v>467</v>
      </c>
      <c r="AJ104" s="19">
        <f t="shared" si="50"/>
        <v>77.833333333333329</v>
      </c>
      <c r="AK104" s="20" t="str">
        <f t="shared" si="51"/>
        <v>B</v>
      </c>
      <c r="AL104" s="20" t="str">
        <f t="shared" si="52"/>
        <v>Pass</v>
      </c>
    </row>
    <row r="105" spans="1:38" ht="14.4" x14ac:dyDescent="0.3">
      <c r="A105" s="21" t="s">
        <v>226</v>
      </c>
      <c r="B105" s="22" t="s">
        <v>258</v>
      </c>
      <c r="C105" s="22" t="s">
        <v>259</v>
      </c>
      <c r="D105" s="21" t="s">
        <v>260</v>
      </c>
      <c r="E105" s="21">
        <v>15</v>
      </c>
      <c r="F105" s="11">
        <v>50</v>
      </c>
      <c r="G105" s="12">
        <v>33</v>
      </c>
      <c r="H105" s="11">
        <v>50</v>
      </c>
      <c r="I105" s="12">
        <v>40</v>
      </c>
      <c r="J105" s="11">
        <v>50</v>
      </c>
      <c r="K105" s="12">
        <v>23</v>
      </c>
      <c r="L105" s="11">
        <v>50</v>
      </c>
      <c r="M105" s="12">
        <v>35</v>
      </c>
      <c r="N105" s="11">
        <v>50</v>
      </c>
      <c r="O105" s="12">
        <v>33</v>
      </c>
      <c r="P105" s="11">
        <v>50</v>
      </c>
      <c r="Q105" s="12">
        <v>28</v>
      </c>
      <c r="R105" s="14">
        <v>300</v>
      </c>
      <c r="S105" s="43">
        <f t="shared" si="47"/>
        <v>192</v>
      </c>
      <c r="T105" s="15">
        <v>50</v>
      </c>
      <c r="U105" s="16">
        <v>41</v>
      </c>
      <c r="V105" s="15">
        <v>50</v>
      </c>
      <c r="W105" s="16">
        <v>39</v>
      </c>
      <c r="X105" s="15">
        <v>50</v>
      </c>
      <c r="Y105" s="16">
        <v>49</v>
      </c>
      <c r="Z105" s="15">
        <v>50</v>
      </c>
      <c r="AA105" s="16">
        <v>41</v>
      </c>
      <c r="AB105" s="15">
        <v>50</v>
      </c>
      <c r="AC105" s="16">
        <v>33</v>
      </c>
      <c r="AD105" s="15">
        <v>50</v>
      </c>
      <c r="AE105" s="16">
        <v>32</v>
      </c>
      <c r="AF105" s="17">
        <v>300</v>
      </c>
      <c r="AG105" s="47">
        <f t="shared" si="48"/>
        <v>235</v>
      </c>
      <c r="AH105" s="18">
        <v>600</v>
      </c>
      <c r="AI105" s="18">
        <f t="shared" si="49"/>
        <v>427</v>
      </c>
      <c r="AJ105" s="19">
        <f t="shared" si="50"/>
        <v>71.166666666666671</v>
      </c>
      <c r="AK105" s="20" t="str">
        <f t="shared" si="51"/>
        <v>B</v>
      </c>
      <c r="AL105" s="20" t="str">
        <f t="shared" si="52"/>
        <v>Pass</v>
      </c>
    </row>
  </sheetData>
  <autoFilter ref="A1:AL13" xr:uid="{00000000-0001-0000-0000-000000000000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4" showButton="0"/>
    <filterColumn colId="35" showButton="0"/>
    <filterColumn colId="36" showButton="0"/>
  </autoFilter>
  <mergeCells count="12">
    <mergeCell ref="F35:Q35"/>
    <mergeCell ref="F40:Q40"/>
    <mergeCell ref="T40:AE40"/>
    <mergeCell ref="A1:AL1"/>
    <mergeCell ref="A2:AL2"/>
    <mergeCell ref="A3:AL3"/>
    <mergeCell ref="T5:AG5"/>
    <mergeCell ref="A4:AB4"/>
    <mergeCell ref="AC4:AL4"/>
    <mergeCell ref="A5:E5"/>
    <mergeCell ref="F5:S5"/>
    <mergeCell ref="AH5:AL5"/>
  </mergeCells>
  <phoneticPr fontId="5" type="noConversion"/>
  <conditionalFormatting sqref="AL8:AL10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containsText" dxfId="0" priority="2" operator="containsText" text="Pass">
      <formula>NOT(ISERROR(SEARCH("Pass",AL8)))</formula>
    </cfRule>
    <cfRule type="containsText" dxfId="1" priority="1" operator="containsText" text="fail">
      <formula>NOT(ISERROR(SEARCH("fail",AL8)))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Mulyankan Panjee Bihar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Vikash Kumar</cp:lastModifiedBy>
  <dcterms:created xsi:type="dcterms:W3CDTF">2026-03-24T06:27:27Z</dcterms:created>
  <dcterms:modified xsi:type="dcterms:W3CDTF">2026-03-24T12:12:58Z</dcterms:modified>
</cp:coreProperties>
</file>