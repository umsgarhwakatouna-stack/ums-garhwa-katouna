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Result बिहा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<sst xmlns="http://schemas.openxmlformats.org/spreadsheetml/2006/main" count="292" uniqueCount="121">
  <si>
    <t xml:space="preserve">उत्क्रमित मध्य विद्यालय, गढ़वा कटौना
प्रखंड - बरहट  |  जिला - जमुई, बिहार  |  कक्षा 1 से 8  |  सरकारी विद्यालय, बिहार सरकार</t>
  </si>
  <si>
    <t xml:space="preserve">📘 Class 1-2: Hindi, English, Math (Total: 300)   |   📗 Class 3-8: Hindi, English, Math, Science, Social Science, Sanskrit (Total: 600)</t>
  </si>
  <si>
    <t xml:space="preserve">Class</t>
  </si>
  <si>
    <t xml:space="preserve">Student Name</t>
  </si>
  <si>
    <t xml:space="preserve">Roll No.</t>
  </si>
  <si>
    <t xml:space="preserve">Hindi
(F.M)</t>
  </si>
  <si>
    <t xml:space="preserve">Hindi
(Obt)</t>
  </si>
  <si>
    <t xml:space="preserve">English
(F.M)</t>
  </si>
  <si>
    <t xml:space="preserve">English
(Obt)</t>
  </si>
  <si>
    <t xml:space="preserve">Math
(F.M)</t>
  </si>
  <si>
    <t xml:space="preserve">Math
(Obt)</t>
  </si>
  <si>
    <t xml:space="preserve">Science
(F.M)</t>
  </si>
  <si>
    <t xml:space="preserve">Science
(Obt)</t>
  </si>
  <si>
    <t xml:space="preserve">Soc. Sci.
(F.M)</t>
  </si>
  <si>
    <t xml:space="preserve">Soc. Sci.
(Obt)</t>
  </si>
  <si>
    <t xml:space="preserve">Sanskrit
(F.M)</t>
  </si>
  <si>
    <t xml:space="preserve">Sanskrit
(Obt)</t>
  </si>
  <si>
    <t xml:space="preserve">Full
Marks</t>
  </si>
  <si>
    <t xml:space="preserve">Total
Obt.</t>
  </si>
  <si>
    <t xml:space="preserve">Percentage</t>
  </si>
  <si>
    <t xml:space="preserve">Grade</t>
  </si>
  <si>
    <t xml:space="preserve">Result</t>
  </si>
  <si>
    <t xml:space="preserve">Class 1</t>
  </si>
  <si>
    <t xml:space="preserve">Kunal Kumar 1</t>
  </si>
  <si>
    <t xml:space="preserve">N/A</t>
  </si>
  <si>
    <t xml:space="preserve">Neha Kumari 2</t>
  </si>
  <si>
    <t xml:space="preserve">Neeraj Kumar 3</t>
  </si>
  <si>
    <t xml:space="preserve">Aarav Kumar 4</t>
  </si>
  <si>
    <t xml:space="preserve">Sneha Kumari 5</t>
  </si>
  <si>
    <t xml:space="preserve">Class 2</t>
  </si>
  <si>
    <t xml:space="preserve">Payal Kumari 6</t>
  </si>
  <si>
    <t xml:space="preserve">Sachin Kumar 7</t>
  </si>
  <si>
    <t xml:space="preserve">Tanu Kumari 8</t>
  </si>
  <si>
    <t xml:space="preserve">Nisha Kumari 9</t>
  </si>
  <si>
    <t xml:space="preserve">Abhishek Kumar 10</t>
  </si>
  <si>
    <t xml:space="preserve">Shreya Kumari 11</t>
  </si>
  <si>
    <t xml:space="preserve">Rekha Kumari 12</t>
  </si>
  <si>
    <t xml:space="preserve">Ajay Kumar 13</t>
  </si>
  <si>
    <t xml:space="preserve">Ravi Kumar 14</t>
  </si>
  <si>
    <t xml:space="preserve">Priya Kumari 15</t>
  </si>
  <si>
    <t xml:space="preserve">Class 3</t>
  </si>
  <si>
    <t xml:space="preserve">Kajal Kumari 16</t>
  </si>
  <si>
    <t xml:space="preserve">Khushi Kumari 17</t>
  </si>
  <si>
    <t xml:space="preserve">Krishna Kumar 18</t>
  </si>
  <si>
    <t xml:space="preserve">Shivam Kumar 19</t>
  </si>
  <si>
    <t xml:space="preserve">Soni Kumari 20</t>
  </si>
  <si>
    <t xml:space="preserve">Swati Kumari 21</t>
  </si>
  <si>
    <t xml:space="preserve">Simran Kumari 22</t>
  </si>
  <si>
    <t xml:space="preserve">Sonu Kumar 23</t>
  </si>
  <si>
    <t xml:space="preserve">Manish Kumar 24</t>
  </si>
  <si>
    <t xml:space="preserve">Vikas Kumar 25</t>
  </si>
  <si>
    <t xml:space="preserve">Class 4</t>
  </si>
  <si>
    <t xml:space="preserve">Vivaan Singh 26</t>
  </si>
  <si>
    <t xml:space="preserve">Ankit Kumar 27</t>
  </si>
  <si>
    <t xml:space="preserve">Aditya Kumar 28</t>
  </si>
  <si>
    <t xml:space="preserve">Pankaj Kumar 29</t>
  </si>
  <si>
    <t xml:space="preserve">Komal Kumari 30</t>
  </si>
  <si>
    <t xml:space="preserve">Ritu Kumari 31</t>
  </si>
  <si>
    <t xml:space="preserve">Muskan Kumari 32</t>
  </si>
  <si>
    <t xml:space="preserve">Rani Kumari 33</t>
  </si>
  <si>
    <t xml:space="preserve">Deepak Kumar 34</t>
  </si>
  <si>
    <t xml:space="preserve">Meena Kumari 35</t>
  </si>
  <si>
    <t xml:space="preserve">Class 5</t>
  </si>
  <si>
    <t xml:space="preserve">Anjali Kumari 36</t>
  </si>
  <si>
    <t xml:space="preserve">Aman Kumar 37</t>
  </si>
  <si>
    <t xml:space="preserve">Rohit Kumar 38</t>
  </si>
  <si>
    <t xml:space="preserve">Aarti Kumari 39</t>
  </si>
  <si>
    <t xml:space="preserve">Pooja Kumari 40</t>
  </si>
  <si>
    <t xml:space="preserve">Rahul Kumar 41</t>
  </si>
  <si>
    <t xml:space="preserve">Saurabh Kumar 42</t>
  </si>
  <si>
    <t xml:space="preserve">Kunal Kumar 43</t>
  </si>
  <si>
    <t xml:space="preserve">Neha Kumari 44</t>
  </si>
  <si>
    <t xml:space="preserve">Neeraj Kumar 45</t>
  </si>
  <si>
    <t xml:space="preserve">Class 6</t>
  </si>
  <si>
    <t xml:space="preserve">Aarav Kumar 46</t>
  </si>
  <si>
    <t xml:space="preserve">Sneha Kumari 47</t>
  </si>
  <si>
    <t xml:space="preserve">Payal Kumari 48</t>
  </si>
  <si>
    <t xml:space="preserve">Sachin Kumar 49</t>
  </si>
  <si>
    <t xml:space="preserve">Tanu Kumari 50</t>
  </si>
  <si>
    <t xml:space="preserve">Nisha Kumari 51</t>
  </si>
  <si>
    <t xml:space="preserve">Abhishek Kumar 52</t>
  </si>
  <si>
    <t xml:space="preserve">Shreya Kumari 53</t>
  </si>
  <si>
    <t xml:space="preserve">Rekha Kumari 54</t>
  </si>
  <si>
    <t xml:space="preserve">Ajay Kumar 55</t>
  </si>
  <si>
    <t xml:space="preserve">Ravi Kumar 56</t>
  </si>
  <si>
    <t xml:space="preserve">Priya Kumari 57</t>
  </si>
  <si>
    <t xml:space="preserve">Kajal Kumari 58</t>
  </si>
  <si>
    <t xml:space="preserve">Khushi Kumari 59</t>
  </si>
  <si>
    <t xml:space="preserve">Krishna Kumar 60</t>
  </si>
  <si>
    <t xml:space="preserve">Class 7</t>
  </si>
  <si>
    <t xml:space="preserve">Shivam Kumar 61</t>
  </si>
  <si>
    <t xml:space="preserve">Soni Kumari 62</t>
  </si>
  <si>
    <t xml:space="preserve">Swati Kumari 63</t>
  </si>
  <si>
    <t xml:space="preserve">Simran Kumari 64</t>
  </si>
  <si>
    <t xml:space="preserve">Sonu Kumar 65</t>
  </si>
  <si>
    <t xml:space="preserve">Manish Kumar 66</t>
  </si>
  <si>
    <t xml:space="preserve">Vikas Kumar 67</t>
  </si>
  <si>
    <t xml:space="preserve">Vivaan Singh 68</t>
  </si>
  <si>
    <t xml:space="preserve">Ankit Kumar 69</t>
  </si>
  <si>
    <t xml:space="preserve">Aditya Kumar 70</t>
  </si>
  <si>
    <t xml:space="preserve">Pankaj Kumar 71</t>
  </si>
  <si>
    <t xml:space="preserve">Komal Kumari 72</t>
  </si>
  <si>
    <t xml:space="preserve">Ritu Kumari 73</t>
  </si>
  <si>
    <t xml:space="preserve">Muskan Kumari 74</t>
  </si>
  <si>
    <t xml:space="preserve">Rani Kumari 75</t>
  </si>
  <si>
    <t xml:space="preserve">Class 8</t>
  </si>
  <si>
    <t xml:space="preserve">Deepak Kumar 76</t>
  </si>
  <si>
    <t xml:space="preserve">Meena Kumari 77</t>
  </si>
  <si>
    <t xml:space="preserve">Anjali Kumari 78</t>
  </si>
  <si>
    <t xml:space="preserve">Aman Kumar 79</t>
  </si>
  <si>
    <t xml:space="preserve">Rohit Kumar 80</t>
  </si>
  <si>
    <t xml:space="preserve">Aarti Kumari 81</t>
  </si>
  <si>
    <t xml:space="preserve">Pooja Kumari 82</t>
  </si>
  <si>
    <t xml:space="preserve">Rahul Kumar 83</t>
  </si>
  <si>
    <t xml:space="preserve">Saurabh Kumar 84</t>
  </si>
  <si>
    <t xml:space="preserve">Kunal Kumar 85</t>
  </si>
  <si>
    <t xml:space="preserve">Neha Kumari 86</t>
  </si>
  <si>
    <t xml:space="preserve">Neeraj Kumar 87</t>
  </si>
  <si>
    <t xml:space="preserve">Aarav Kumar 88</t>
  </si>
  <si>
    <t xml:space="preserve">Sneha Kumari 89</t>
  </si>
  <si>
    <t xml:space="preserve">Payal Kumari 90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</si>
</sst>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7030A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1F2"/>
      </patternFill>
    </fill>
    <fill>
      <patternFill patternType="solid">
        <fgColor rgb="FFD9E1F2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E6E6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9E1F2"/>
      </patternFill>
    </fill>
    <fill>
      <patternFill patternType="solid">
        <fgColor rgb="FFDDEBF7"/>
        <bgColor rgb="FFD6E4F0"/>
      </patternFill>
    </fill>
    <fill>
      <patternFill patternType="solid">
        <fgColor rgb="FFEDD9FF"/>
        <bgColor rgb="FFD9E1F2"/>
      </patternFill>
    </fill>
    <fill>
      <patternFill patternType="solid">
        <fgColor rgb="FFFFE6E6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37562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D9E1F2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D6E4F0"/>
      <rgbColor rgb="FFFFE6E6"/>
      <rgbColor rgb="FFEDD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5" min="3" style="0" width="7"/>
    <col collapsed="false" customWidth="true" hidden="false" outlineLevel="0" max="6" min="6" style="0" width="8"/>
    <col collapsed="false" customWidth="true" hidden="false" outlineLevel="0" max="9" min="7" style="0" width="7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4" min="14" style="0" width="8"/>
    <col collapsed="false" customWidth="true" hidden="false" outlineLevel="0" max="17" min="15" style="0" width="7"/>
    <col collapsed="false" customWidth="true" hidden="false" outlineLevel="0" max="18" min="18" style="0" width="11"/>
    <col collapsed="false" customWidth="true" hidden="false" outlineLevel="0" max="19" min="19" style="0" width="7"/>
    <col collapsed="false" customWidth="true" hidden="false" outlineLevel="0" max="20" min="20" style="0" width="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customFormat="false" ht="18" hidden="false" customHeight="true" outlineLevel="0" collapsed="false">
      <c r="A4" s="4" t="s">
        <v>22</v>
      </c>
      <c r="B4" s="5" t="s">
        <v>23</v>
      </c>
      <c r="C4" s="6" t="n">
        <v>1</v>
      </c>
      <c r="D4" s="7" t="n">
        <v>100</v>
      </c>
      <c r="E4" s="7" t="n">
        <v>77</v>
      </c>
      <c r="F4" s="8" t="n">
        <v>100</v>
      </c>
      <c r="G4" s="8" t="n">
        <v>95</v>
      </c>
      <c r="H4" s="9" t="n">
        <v>100</v>
      </c>
      <c r="I4" s="9" t="n">
        <v>99</v>
      </c>
      <c r="J4" s="10" t="s">
        <v>24</v>
      </c>
      <c r="K4" s="10" t="s">
        <v>24</v>
      </c>
      <c r="L4" s="10" t="s">
        <v>24</v>
      </c>
      <c r="M4" s="10" t="s">
        <v>24</v>
      </c>
      <c r="N4" s="10" t="s">
        <v>24</v>
      </c>
      <c r="O4" s="10" t="s">
        <v>24</v>
      </c>
      <c r="P4" s="11" t="n">
        <v>300</v>
      </c>
      <c r="Q4" s="11" t="n">
        <f aca="false">E4+G4+I4</f>
        <v>271</v>
      </c>
      <c r="R4" s="12" t="n">
        <f aca="false">ROUND(Q4/P4*100,2)</f>
        <v>90.33</v>
      </c>
      <c r="S4" s="13" t="str">
        <f aca="false">IF(R4&gt;=90,"A+",IF(R4&gt;=80,"A",IF(R4&gt;=70,"B+",IF(R4&gt;=60,"B",IF(R4&gt;=45,"C",IF(R4&gt;=33,"D","F"))))))</f>
        <v>A+</v>
      </c>
      <c r="T4" s="14" t="str">
        <f aca="false">IF(AND(E4&gt;=33,G4&gt;=33,I4&gt;=33),"Pass","Fail")</f>
        <v>Pass</v>
      </c>
    </row>
    <row r="5" customFormat="false" ht="18" hidden="false" customHeight="true" outlineLevel="0" collapsed="false">
      <c r="A5" s="4" t="s">
        <v>22</v>
      </c>
      <c r="B5" s="5" t="s">
        <v>25</v>
      </c>
      <c r="C5" s="6" t="n">
        <v>2</v>
      </c>
      <c r="D5" s="7" t="n">
        <v>100</v>
      </c>
      <c r="E5" s="7" t="n">
        <v>54</v>
      </c>
      <c r="F5" s="8" t="n">
        <v>100</v>
      </c>
      <c r="G5" s="8" t="n">
        <v>76</v>
      </c>
      <c r="H5" s="9" t="n">
        <v>100</v>
      </c>
      <c r="I5" s="9" t="n">
        <v>74</v>
      </c>
      <c r="J5" s="10" t="s">
        <v>24</v>
      </c>
      <c r="K5" s="10" t="s">
        <v>24</v>
      </c>
      <c r="L5" s="10" t="s">
        <v>24</v>
      </c>
      <c r="M5" s="10" t="s">
        <v>24</v>
      </c>
      <c r="N5" s="10" t="s">
        <v>24</v>
      </c>
      <c r="O5" s="10" t="s">
        <v>24</v>
      </c>
      <c r="P5" s="11" t="n">
        <v>300</v>
      </c>
      <c r="Q5" s="11" t="n">
        <f aca="false">E5+G5+I5</f>
        <v>204</v>
      </c>
      <c r="R5" s="12" t="n">
        <f aca="false">ROUND(Q5/P5*100,2)</f>
        <v>68</v>
      </c>
      <c r="S5" s="13" t="str">
        <f aca="false">IF(R5&gt;=90,"A+",IF(R5&gt;=80,"A",IF(R5&gt;=70,"B+",IF(R5&gt;=60,"B",IF(R5&gt;=45,"C",IF(R5&gt;=33,"D","F"))))))</f>
        <v>B</v>
      </c>
      <c r="T5" s="14" t="str">
        <f aca="false">IF(AND(E5&gt;=33,G5&gt;=33,I5&gt;=33),"Pass","Fail")</f>
        <v>Pass</v>
      </c>
    </row>
    <row r="6" customFormat="false" ht="18" hidden="false" customHeight="true" outlineLevel="0" collapsed="false">
      <c r="A6" s="4" t="s">
        <v>22</v>
      </c>
      <c r="B6" s="5" t="s">
        <v>26</v>
      </c>
      <c r="C6" s="6" t="n">
        <v>3</v>
      </c>
      <c r="D6" s="7" t="n">
        <v>100</v>
      </c>
      <c r="E6" s="7" t="n">
        <v>72</v>
      </c>
      <c r="F6" s="8" t="n">
        <v>100</v>
      </c>
      <c r="G6" s="8" t="n">
        <v>94</v>
      </c>
      <c r="H6" s="9" t="n">
        <v>100</v>
      </c>
      <c r="I6" s="9" t="n">
        <v>87</v>
      </c>
      <c r="J6" s="10" t="s">
        <v>24</v>
      </c>
      <c r="K6" s="10" t="s">
        <v>24</v>
      </c>
      <c r="L6" s="10" t="s">
        <v>24</v>
      </c>
      <c r="M6" s="10" t="s">
        <v>24</v>
      </c>
      <c r="N6" s="10" t="s">
        <v>24</v>
      </c>
      <c r="O6" s="10" t="s">
        <v>24</v>
      </c>
      <c r="P6" s="11" t="n">
        <v>300</v>
      </c>
      <c r="Q6" s="11" t="n">
        <f aca="false">E6+G6+I6</f>
        <v>253</v>
      </c>
      <c r="R6" s="12" t="n">
        <f aca="false">ROUND(Q6/P6*100,2)</f>
        <v>84.33</v>
      </c>
      <c r="S6" s="13" t="str">
        <f aca="false">IF(R6&gt;=90,"A+",IF(R6&gt;=80,"A",IF(R6&gt;=70,"B+",IF(R6&gt;=60,"B",IF(R6&gt;=45,"C",IF(R6&gt;=33,"D","F"))))))</f>
        <v>A</v>
      </c>
      <c r="T6" s="14" t="str">
        <f aca="false">IF(AND(E6&gt;=33,G6&gt;=33,I6&gt;=33),"Pass","Fail")</f>
        <v>Pass</v>
      </c>
    </row>
    <row r="7" customFormat="false" ht="18" hidden="false" customHeight="true" outlineLevel="0" collapsed="false">
      <c r="A7" s="4" t="s">
        <v>22</v>
      </c>
      <c r="B7" s="5" t="s">
        <v>27</v>
      </c>
      <c r="C7" s="6" t="n">
        <v>4</v>
      </c>
      <c r="D7" s="7" t="n">
        <v>100</v>
      </c>
      <c r="E7" s="7" t="n">
        <v>32</v>
      </c>
      <c r="F7" s="8" t="n">
        <v>100</v>
      </c>
      <c r="G7" s="8" t="n">
        <v>81</v>
      </c>
      <c r="H7" s="9" t="n">
        <v>100</v>
      </c>
      <c r="I7" s="9" t="n">
        <v>44</v>
      </c>
      <c r="J7" s="10" t="s">
        <v>24</v>
      </c>
      <c r="K7" s="10" t="s">
        <v>24</v>
      </c>
      <c r="L7" s="10" t="s">
        <v>24</v>
      </c>
      <c r="M7" s="10" t="s">
        <v>24</v>
      </c>
      <c r="N7" s="10" t="s">
        <v>24</v>
      </c>
      <c r="O7" s="10" t="s">
        <v>24</v>
      </c>
      <c r="P7" s="11" t="n">
        <v>300</v>
      </c>
      <c r="Q7" s="11" t="n">
        <f aca="false">E7+G7+I7</f>
        <v>157</v>
      </c>
      <c r="R7" s="12" t="n">
        <f aca="false">ROUND(Q7/P7*100,2)</f>
        <v>52.33</v>
      </c>
      <c r="S7" s="13" t="str">
        <f aca="false">IF(R7&gt;=90,"A+",IF(R7&gt;=80,"A",IF(R7&gt;=70,"B+",IF(R7&gt;=60,"B",IF(R7&gt;=45,"C",IF(R7&gt;=33,"D","F"))))))</f>
        <v>C</v>
      </c>
      <c r="T7" s="14" t="str">
        <f aca="false">IF(AND(E7&gt;=33,G7&gt;=33,I7&gt;=33),"Pass","Fail")</f>
        <v>Fail</v>
      </c>
    </row>
    <row r="8" customFormat="false" ht="18" hidden="false" customHeight="true" outlineLevel="0" collapsed="false">
      <c r="A8" s="4" t="s">
        <v>22</v>
      </c>
      <c r="B8" s="5" t="s">
        <v>28</v>
      </c>
      <c r="C8" s="6" t="n">
        <v>5</v>
      </c>
      <c r="D8" s="7" t="n">
        <v>100</v>
      </c>
      <c r="E8" s="7" t="n">
        <v>33</v>
      </c>
      <c r="F8" s="8" t="n">
        <v>100</v>
      </c>
      <c r="G8" s="8" t="n">
        <v>81</v>
      </c>
      <c r="H8" s="9" t="n">
        <v>100</v>
      </c>
      <c r="I8" s="9" t="n">
        <v>64</v>
      </c>
      <c r="J8" s="10" t="s">
        <v>24</v>
      </c>
      <c r="K8" s="10" t="s">
        <v>24</v>
      </c>
      <c r="L8" s="10" t="s">
        <v>24</v>
      </c>
      <c r="M8" s="10" t="s">
        <v>24</v>
      </c>
      <c r="N8" s="10" t="s">
        <v>24</v>
      </c>
      <c r="O8" s="10" t="s">
        <v>24</v>
      </c>
      <c r="P8" s="11" t="n">
        <v>300</v>
      </c>
      <c r="Q8" s="11" t="n">
        <f aca="false">E8+G8+I8</f>
        <v>178</v>
      </c>
      <c r="R8" s="12" t="n">
        <f aca="false">ROUND(Q8/P8*100,2)</f>
        <v>59.33</v>
      </c>
      <c r="S8" s="13" t="str">
        <f aca="false">IF(R8&gt;=90,"A+",IF(R8&gt;=80,"A",IF(R8&gt;=70,"B+",IF(R8&gt;=60,"B",IF(R8&gt;=45,"C",IF(R8&gt;=33,"D","F"))))))</f>
        <v>C</v>
      </c>
      <c r="T8" s="14" t="str">
        <f aca="false">IF(AND(E8&gt;=33,G8&gt;=33,I8&gt;=33),"Pass","Fail")</f>
        <v>Pass</v>
      </c>
    </row>
    <row r="9" customFormat="false" ht="18" hidden="false" customHeight="true" outlineLevel="0" collapsed="false">
      <c r="A9" s="4" t="s">
        <v>29</v>
      </c>
      <c r="B9" s="5" t="s">
        <v>30</v>
      </c>
      <c r="C9" s="6" t="n">
        <v>1</v>
      </c>
      <c r="D9" s="7" t="n">
        <v>100</v>
      </c>
      <c r="E9" s="7" t="n">
        <v>79</v>
      </c>
      <c r="F9" s="8" t="n">
        <v>100</v>
      </c>
      <c r="G9" s="8" t="n">
        <v>40</v>
      </c>
      <c r="H9" s="9" t="n">
        <v>100</v>
      </c>
      <c r="I9" s="9" t="n">
        <v>52</v>
      </c>
      <c r="J9" s="10" t="s">
        <v>24</v>
      </c>
      <c r="K9" s="10" t="s">
        <v>24</v>
      </c>
      <c r="L9" s="10" t="s">
        <v>24</v>
      </c>
      <c r="M9" s="10" t="s">
        <v>24</v>
      </c>
      <c r="N9" s="10" t="s">
        <v>24</v>
      </c>
      <c r="O9" s="10" t="s">
        <v>24</v>
      </c>
      <c r="P9" s="11" t="n">
        <v>300</v>
      </c>
      <c r="Q9" s="11" t="n">
        <f aca="false">E9+G9+I9</f>
        <v>171</v>
      </c>
      <c r="R9" s="12" t="n">
        <f aca="false">ROUND(Q9/P9*100,2)</f>
        <v>57</v>
      </c>
      <c r="S9" s="13" t="str">
        <f aca="false">IF(R9&gt;=90,"A+",IF(R9&gt;=80,"A",IF(R9&gt;=70,"B+",IF(R9&gt;=60,"B",IF(R9&gt;=45,"C",IF(R9&gt;=33,"D","F"))))))</f>
        <v>C</v>
      </c>
      <c r="T9" s="14" t="str">
        <f aca="false">IF(AND(E9&gt;=33,G9&gt;=33,I9&gt;=33),"Pass","Fail")</f>
        <v>Pass</v>
      </c>
    </row>
    <row r="10" customFormat="false" ht="18" hidden="false" customHeight="true" outlineLevel="0" collapsed="false">
      <c r="A10" s="4" t="s">
        <v>29</v>
      </c>
      <c r="B10" s="5" t="s">
        <v>31</v>
      </c>
      <c r="C10" s="6" t="n">
        <v>2</v>
      </c>
      <c r="D10" s="7" t="n">
        <v>100</v>
      </c>
      <c r="E10" s="7" t="n">
        <v>56</v>
      </c>
      <c r="F10" s="8" t="n">
        <v>100</v>
      </c>
      <c r="G10" s="8" t="n">
        <v>82</v>
      </c>
      <c r="H10" s="9" t="n">
        <v>100</v>
      </c>
      <c r="I10" s="9" t="n">
        <v>44</v>
      </c>
      <c r="J10" s="10" t="s">
        <v>24</v>
      </c>
      <c r="K10" s="10" t="s">
        <v>24</v>
      </c>
      <c r="L10" s="10" t="s">
        <v>24</v>
      </c>
      <c r="M10" s="10" t="s">
        <v>24</v>
      </c>
      <c r="N10" s="10" t="s">
        <v>24</v>
      </c>
      <c r="O10" s="10" t="s">
        <v>24</v>
      </c>
      <c r="P10" s="11" t="n">
        <v>300</v>
      </c>
      <c r="Q10" s="11" t="n">
        <f aca="false">E10+G10+I10</f>
        <v>182</v>
      </c>
      <c r="R10" s="12" t="n">
        <f aca="false">ROUND(Q10/P10*100,2)</f>
        <v>60.67</v>
      </c>
      <c r="S10" s="13" t="str">
        <f aca="false">IF(R10&gt;=90,"A+",IF(R10&gt;=80,"A",IF(R10&gt;=70,"B+",IF(R10&gt;=60,"B",IF(R10&gt;=45,"C",IF(R10&gt;=33,"D","F"))))))</f>
        <v>B</v>
      </c>
      <c r="T10" s="14" t="str">
        <f aca="false">IF(AND(E10&gt;=33,G10&gt;=33,I10&gt;=33),"Pass","Fail")</f>
        <v>Pass</v>
      </c>
    </row>
    <row r="11" customFormat="false" ht="18" hidden="false" customHeight="true" outlineLevel="0" collapsed="false">
      <c r="A11" s="4" t="s">
        <v>29</v>
      </c>
      <c r="B11" s="5" t="s">
        <v>32</v>
      </c>
      <c r="C11" s="6" t="n">
        <v>3</v>
      </c>
      <c r="D11" s="7" t="n">
        <v>100</v>
      </c>
      <c r="E11" s="7" t="n">
        <v>61</v>
      </c>
      <c r="F11" s="8" t="n">
        <v>100</v>
      </c>
      <c r="G11" s="8" t="n">
        <v>74</v>
      </c>
      <c r="H11" s="9" t="n">
        <v>100</v>
      </c>
      <c r="I11" s="9" t="n">
        <v>86</v>
      </c>
      <c r="J11" s="10" t="s">
        <v>24</v>
      </c>
      <c r="K11" s="10" t="s">
        <v>24</v>
      </c>
      <c r="L11" s="10" t="s">
        <v>24</v>
      </c>
      <c r="M11" s="10" t="s">
        <v>24</v>
      </c>
      <c r="N11" s="10" t="s">
        <v>24</v>
      </c>
      <c r="O11" s="10" t="s">
        <v>24</v>
      </c>
      <c r="P11" s="11" t="n">
        <v>300</v>
      </c>
      <c r="Q11" s="11" t="n">
        <f aca="false">E11+G11+I11</f>
        <v>221</v>
      </c>
      <c r="R11" s="12" t="n">
        <f aca="false">ROUND(Q11/P11*100,2)</f>
        <v>73.67</v>
      </c>
      <c r="S11" s="13" t="str">
        <f aca="false">IF(R11&gt;=90,"A+",IF(R11&gt;=80,"A",IF(R11&gt;=70,"B+",IF(R11&gt;=60,"B",IF(R11&gt;=45,"C",IF(R11&gt;=33,"D","F"))))))</f>
        <v>B+</v>
      </c>
      <c r="T11" s="14" t="str">
        <f aca="false">IF(AND(E11&gt;=33,G11&gt;=33,I11&gt;=33),"Pass","Fail")</f>
        <v>Pass</v>
      </c>
    </row>
    <row r="12" customFormat="false" ht="18" hidden="false" customHeight="true" outlineLevel="0" collapsed="false">
      <c r="A12" s="4" t="s">
        <v>29</v>
      </c>
      <c r="B12" s="5" t="s">
        <v>33</v>
      </c>
      <c r="C12" s="6" t="n">
        <v>4</v>
      </c>
      <c r="D12" s="7" t="n">
        <v>100</v>
      </c>
      <c r="E12" s="7" t="n">
        <v>90</v>
      </c>
      <c r="F12" s="8" t="n">
        <v>100</v>
      </c>
      <c r="G12" s="8" t="n">
        <v>75</v>
      </c>
      <c r="H12" s="9" t="n">
        <v>100</v>
      </c>
      <c r="I12" s="9" t="n">
        <v>55</v>
      </c>
      <c r="J12" s="10" t="s">
        <v>24</v>
      </c>
      <c r="K12" s="10" t="s">
        <v>24</v>
      </c>
      <c r="L12" s="10" t="s">
        <v>24</v>
      </c>
      <c r="M12" s="10" t="s">
        <v>24</v>
      </c>
      <c r="N12" s="10" t="s">
        <v>24</v>
      </c>
      <c r="O12" s="10" t="s">
        <v>24</v>
      </c>
      <c r="P12" s="11" t="n">
        <v>300</v>
      </c>
      <c r="Q12" s="11" t="n">
        <f aca="false">E12+G12+I12</f>
        <v>220</v>
      </c>
      <c r="R12" s="12" t="n">
        <f aca="false">ROUND(Q12/P12*100,2)</f>
        <v>73.33</v>
      </c>
      <c r="S12" s="13" t="str">
        <f aca="false">IF(R12&gt;=90,"A+",IF(R12&gt;=80,"A",IF(R12&gt;=70,"B+",IF(R12&gt;=60,"B",IF(R12&gt;=45,"C",IF(R12&gt;=33,"D","F"))))))</f>
        <v>B+</v>
      </c>
      <c r="T12" s="14" t="str">
        <f aca="false">IF(AND(E12&gt;=33,G12&gt;=33,I12&gt;=33),"Pass","Fail")</f>
        <v>Pass</v>
      </c>
    </row>
    <row r="13" customFormat="false" ht="18" hidden="false" customHeight="true" outlineLevel="0" collapsed="false">
      <c r="A13" s="4" t="s">
        <v>29</v>
      </c>
      <c r="B13" s="5" t="s">
        <v>34</v>
      </c>
      <c r="C13" s="6" t="n">
        <v>5</v>
      </c>
      <c r="D13" s="7" t="n">
        <v>100</v>
      </c>
      <c r="E13" s="7" t="n">
        <v>67</v>
      </c>
      <c r="F13" s="8" t="n">
        <v>100</v>
      </c>
      <c r="G13" s="8" t="n">
        <v>65</v>
      </c>
      <c r="H13" s="9" t="n">
        <v>100</v>
      </c>
      <c r="I13" s="9" t="n">
        <v>66</v>
      </c>
      <c r="J13" s="10" t="s">
        <v>24</v>
      </c>
      <c r="K13" s="10" t="s">
        <v>24</v>
      </c>
      <c r="L13" s="10" t="s">
        <v>24</v>
      </c>
      <c r="M13" s="10" t="s">
        <v>24</v>
      </c>
      <c r="N13" s="10" t="s">
        <v>24</v>
      </c>
      <c r="O13" s="10" t="s">
        <v>24</v>
      </c>
      <c r="P13" s="11" t="n">
        <v>300</v>
      </c>
      <c r="Q13" s="11" t="n">
        <f aca="false">E13+G13+I13</f>
        <v>198</v>
      </c>
      <c r="R13" s="12" t="n">
        <f aca="false">ROUND(Q13/P13*100,2)</f>
        <v>66</v>
      </c>
      <c r="S13" s="13" t="str">
        <f aca="false">IF(R13&gt;=90,"A+",IF(R13&gt;=80,"A",IF(R13&gt;=70,"B+",IF(R13&gt;=60,"B",IF(R13&gt;=45,"C",IF(R13&gt;=33,"D","F"))))))</f>
        <v>B</v>
      </c>
      <c r="T13" s="14" t="str">
        <f aca="false">IF(AND(E13&gt;=33,G13&gt;=33,I13&gt;=33),"Pass","Fail")</f>
        <v>Pass</v>
      </c>
    </row>
    <row r="14" customFormat="false" ht="18" hidden="false" customHeight="true" outlineLevel="0" collapsed="false">
      <c r="A14" s="4" t="s">
        <v>29</v>
      </c>
      <c r="B14" s="5" t="s">
        <v>35</v>
      </c>
      <c r="C14" s="6" t="n">
        <v>6</v>
      </c>
      <c r="D14" s="7" t="n">
        <v>100</v>
      </c>
      <c r="E14" s="7" t="n">
        <v>30</v>
      </c>
      <c r="F14" s="8" t="n">
        <v>100</v>
      </c>
      <c r="G14" s="8" t="n">
        <v>61</v>
      </c>
      <c r="H14" s="9" t="n">
        <v>100</v>
      </c>
      <c r="I14" s="9" t="n">
        <v>74</v>
      </c>
      <c r="J14" s="10" t="s">
        <v>24</v>
      </c>
      <c r="K14" s="10" t="s">
        <v>24</v>
      </c>
      <c r="L14" s="10" t="s">
        <v>24</v>
      </c>
      <c r="M14" s="10" t="s">
        <v>24</v>
      </c>
      <c r="N14" s="10" t="s">
        <v>24</v>
      </c>
      <c r="O14" s="10" t="s">
        <v>24</v>
      </c>
      <c r="P14" s="11" t="n">
        <v>300</v>
      </c>
      <c r="Q14" s="11" t="n">
        <f aca="false">E14+G14+I14</f>
        <v>165</v>
      </c>
      <c r="R14" s="12" t="n">
        <f aca="false">ROUND(Q14/P14*100,2)</f>
        <v>55</v>
      </c>
      <c r="S14" s="13" t="str">
        <f aca="false">IF(R14&gt;=90,"A+",IF(R14&gt;=80,"A",IF(R14&gt;=70,"B+",IF(R14&gt;=60,"B",IF(R14&gt;=45,"C",IF(R14&gt;=33,"D","F"))))))</f>
        <v>C</v>
      </c>
      <c r="T14" s="14" t="str">
        <f aca="false">IF(AND(E14&gt;=33,G14&gt;=33,I14&gt;=33),"Pass","Fail")</f>
        <v>Fail</v>
      </c>
    </row>
    <row r="15" customFormat="false" ht="18" hidden="false" customHeight="true" outlineLevel="0" collapsed="false">
      <c r="A15" s="4" t="s">
        <v>29</v>
      </c>
      <c r="B15" s="5" t="s">
        <v>36</v>
      </c>
      <c r="C15" s="6" t="n">
        <v>7</v>
      </c>
      <c r="D15" s="7" t="n">
        <v>100</v>
      </c>
      <c r="E15" s="7" t="n">
        <v>31</v>
      </c>
      <c r="F15" s="8" t="n">
        <v>100</v>
      </c>
      <c r="G15" s="8" t="n">
        <v>98</v>
      </c>
      <c r="H15" s="9" t="n">
        <v>100</v>
      </c>
      <c r="I15" s="9" t="n">
        <v>68</v>
      </c>
      <c r="J15" s="10" t="s">
        <v>24</v>
      </c>
      <c r="K15" s="10" t="s">
        <v>24</v>
      </c>
      <c r="L15" s="10" t="s">
        <v>24</v>
      </c>
      <c r="M15" s="10" t="s">
        <v>24</v>
      </c>
      <c r="N15" s="10" t="s">
        <v>24</v>
      </c>
      <c r="O15" s="10" t="s">
        <v>24</v>
      </c>
      <c r="P15" s="11" t="n">
        <v>300</v>
      </c>
      <c r="Q15" s="11" t="n">
        <f aca="false">E15+G15+I15</f>
        <v>197</v>
      </c>
      <c r="R15" s="12" t="n">
        <f aca="false">ROUND(Q15/P15*100,2)</f>
        <v>65.67</v>
      </c>
      <c r="S15" s="13" t="str">
        <f aca="false">IF(R15&gt;=90,"A+",IF(R15&gt;=80,"A",IF(R15&gt;=70,"B+",IF(R15&gt;=60,"B",IF(R15&gt;=45,"C",IF(R15&gt;=33,"D","F"))))))</f>
        <v>B</v>
      </c>
      <c r="T15" s="14" t="str">
        <f aca="false">IF(AND(E15&gt;=33,G15&gt;=33,I15&gt;=33),"Pass","Fail")</f>
        <v>Fail</v>
      </c>
    </row>
    <row r="16" customFormat="false" ht="18" hidden="false" customHeight="true" outlineLevel="0" collapsed="false">
      <c r="A16" s="4" t="s">
        <v>29</v>
      </c>
      <c r="B16" s="5" t="s">
        <v>37</v>
      </c>
      <c r="C16" s="6" t="n">
        <v>8</v>
      </c>
      <c r="D16" s="7" t="n">
        <v>100</v>
      </c>
      <c r="E16" s="7" t="n">
        <v>40</v>
      </c>
      <c r="F16" s="8" t="n">
        <v>100</v>
      </c>
      <c r="G16" s="8" t="n">
        <v>59</v>
      </c>
      <c r="H16" s="9" t="n">
        <v>100</v>
      </c>
      <c r="I16" s="9" t="n">
        <v>65</v>
      </c>
      <c r="J16" s="10" t="s">
        <v>24</v>
      </c>
      <c r="K16" s="10" t="s">
        <v>24</v>
      </c>
      <c r="L16" s="10" t="s">
        <v>24</v>
      </c>
      <c r="M16" s="10" t="s">
        <v>24</v>
      </c>
      <c r="N16" s="10" t="s">
        <v>24</v>
      </c>
      <c r="O16" s="10" t="s">
        <v>24</v>
      </c>
      <c r="P16" s="11" t="n">
        <v>300</v>
      </c>
      <c r="Q16" s="11" t="n">
        <f aca="false">E16+G16+I16</f>
        <v>164</v>
      </c>
      <c r="R16" s="12" t="n">
        <f aca="false">ROUND(Q16/P16*100,2)</f>
        <v>54.67</v>
      </c>
      <c r="S16" s="13" t="str">
        <f aca="false">IF(R16&gt;=90,"A+",IF(R16&gt;=80,"A",IF(R16&gt;=70,"B+",IF(R16&gt;=60,"B",IF(R16&gt;=45,"C",IF(R16&gt;=33,"D","F"))))))</f>
        <v>C</v>
      </c>
      <c r="T16" s="14" t="str">
        <f aca="false">IF(AND(E16&gt;=33,G16&gt;=33,I16&gt;=33),"Pass","Fail")</f>
        <v>Pass</v>
      </c>
    </row>
    <row r="17" customFormat="false" ht="18" hidden="false" customHeight="true" outlineLevel="0" collapsed="false">
      <c r="A17" s="4" t="s">
        <v>29</v>
      </c>
      <c r="B17" s="5" t="s">
        <v>38</v>
      </c>
      <c r="C17" s="6" t="n">
        <v>9</v>
      </c>
      <c r="D17" s="7" t="n">
        <v>100</v>
      </c>
      <c r="E17" s="7" t="n">
        <v>50</v>
      </c>
      <c r="F17" s="8" t="n">
        <v>100</v>
      </c>
      <c r="G17" s="8" t="n">
        <v>92</v>
      </c>
      <c r="H17" s="9" t="n">
        <v>100</v>
      </c>
      <c r="I17" s="9" t="n">
        <v>71</v>
      </c>
      <c r="J17" s="10" t="s">
        <v>24</v>
      </c>
      <c r="K17" s="10" t="s">
        <v>24</v>
      </c>
      <c r="L17" s="10" t="s">
        <v>24</v>
      </c>
      <c r="M17" s="10" t="s">
        <v>24</v>
      </c>
      <c r="N17" s="10" t="s">
        <v>24</v>
      </c>
      <c r="O17" s="10" t="s">
        <v>24</v>
      </c>
      <c r="P17" s="11" t="n">
        <v>300</v>
      </c>
      <c r="Q17" s="11" t="n">
        <f aca="false">E17+G17+I17</f>
        <v>213</v>
      </c>
      <c r="R17" s="12" t="n">
        <f aca="false">ROUND(Q17/P17*100,2)</f>
        <v>71</v>
      </c>
      <c r="S17" s="13" t="str">
        <f aca="false">IF(R17&gt;=90,"A+",IF(R17&gt;=80,"A",IF(R17&gt;=70,"B+",IF(R17&gt;=60,"B",IF(R17&gt;=45,"C",IF(R17&gt;=33,"D","F"))))))</f>
        <v>B+</v>
      </c>
      <c r="T17" s="14" t="str">
        <f aca="false">IF(AND(E17&gt;=33,G17&gt;=33,I17&gt;=33),"Pass","Fail")</f>
        <v>Pass</v>
      </c>
    </row>
    <row r="18" customFormat="false" ht="18" hidden="false" customHeight="true" outlineLevel="0" collapsed="false">
      <c r="A18" s="4" t="s">
        <v>29</v>
      </c>
      <c r="B18" s="5" t="s">
        <v>39</v>
      </c>
      <c r="C18" s="6" t="n">
        <v>10</v>
      </c>
      <c r="D18" s="7" t="n">
        <v>100</v>
      </c>
      <c r="E18" s="7" t="n">
        <v>30</v>
      </c>
      <c r="F18" s="8" t="n">
        <v>100</v>
      </c>
      <c r="G18" s="8" t="n">
        <v>79</v>
      </c>
      <c r="H18" s="9" t="n">
        <v>100</v>
      </c>
      <c r="I18" s="9" t="n">
        <v>63</v>
      </c>
      <c r="J18" s="10" t="s">
        <v>24</v>
      </c>
      <c r="K18" s="10" t="s">
        <v>24</v>
      </c>
      <c r="L18" s="10" t="s">
        <v>24</v>
      </c>
      <c r="M18" s="10" t="s">
        <v>24</v>
      </c>
      <c r="N18" s="10" t="s">
        <v>24</v>
      </c>
      <c r="O18" s="10" t="s">
        <v>24</v>
      </c>
      <c r="P18" s="11" t="n">
        <v>300</v>
      </c>
      <c r="Q18" s="11" t="n">
        <f aca="false">E18+G18+I18</f>
        <v>172</v>
      </c>
      <c r="R18" s="12" t="n">
        <f aca="false">ROUND(Q18/P18*100,2)</f>
        <v>57.33</v>
      </c>
      <c r="S18" s="13" t="str">
        <f aca="false">IF(R18&gt;=90,"A+",IF(R18&gt;=80,"A",IF(R18&gt;=70,"B+",IF(R18&gt;=60,"B",IF(R18&gt;=45,"C",IF(R18&gt;=33,"D","F"))))))</f>
        <v>C</v>
      </c>
      <c r="T18" s="14" t="str">
        <f aca="false">IF(AND(E18&gt;=33,G18&gt;=33,I18&gt;=33),"Pass","Fail")</f>
        <v>Fail</v>
      </c>
    </row>
    <row r="19" customFormat="false" ht="18" hidden="false" customHeight="true" outlineLevel="0" collapsed="false">
      <c r="A19" s="15" t="s">
        <v>40</v>
      </c>
      <c r="B19" s="16" t="s">
        <v>41</v>
      </c>
      <c r="C19" s="17" t="n">
        <v>1</v>
      </c>
      <c r="D19" s="7" t="n">
        <v>100</v>
      </c>
      <c r="E19" s="7" t="n">
        <v>74</v>
      </c>
      <c r="F19" s="8" t="n">
        <v>100</v>
      </c>
      <c r="G19" s="8" t="n">
        <v>55</v>
      </c>
      <c r="H19" s="9" t="n">
        <v>100</v>
      </c>
      <c r="I19" s="9" t="n">
        <v>93</v>
      </c>
      <c r="J19" s="18" t="n">
        <v>100</v>
      </c>
      <c r="K19" s="18" t="n">
        <v>51</v>
      </c>
      <c r="L19" s="19" t="n">
        <v>100</v>
      </c>
      <c r="M19" s="19" t="n">
        <v>44</v>
      </c>
      <c r="N19" s="20" t="n">
        <v>100</v>
      </c>
      <c r="O19" s="20" t="n">
        <v>33</v>
      </c>
      <c r="P19" s="11" t="n">
        <v>600</v>
      </c>
      <c r="Q19" s="11" t="n">
        <f aca="false">E19+G19+I19+K19+M19+O19</f>
        <v>350</v>
      </c>
      <c r="R19" s="12" t="n">
        <f aca="false">ROUND(Q19/P19*100,2)</f>
        <v>58.33</v>
      </c>
      <c r="S19" s="13" t="str">
        <f aca="false">IF(R19&gt;=90,"A+",IF(R19&gt;=80,"A",IF(R19&gt;=70,"B+",IF(R19&gt;=60,"B",IF(R19&gt;=45,"C",IF(R19&gt;=33,"D","F"))))))</f>
        <v>C</v>
      </c>
      <c r="T19" s="14" t="str">
        <f aca="false">IF(AND(E19&gt;=33,G19&gt;=33,I19&gt;=33,K19&gt;=33,M19&gt;=33,O19&gt;=33),"Pass","Fail")</f>
        <v>Pass</v>
      </c>
    </row>
    <row r="20" customFormat="false" ht="18" hidden="false" customHeight="true" outlineLevel="0" collapsed="false">
      <c r="A20" s="15" t="s">
        <v>40</v>
      </c>
      <c r="B20" s="16" t="s">
        <v>42</v>
      </c>
      <c r="C20" s="17" t="n">
        <v>2</v>
      </c>
      <c r="D20" s="7" t="n">
        <v>100</v>
      </c>
      <c r="E20" s="7" t="n">
        <v>66</v>
      </c>
      <c r="F20" s="8" t="n">
        <v>100</v>
      </c>
      <c r="G20" s="8" t="n">
        <v>81</v>
      </c>
      <c r="H20" s="9" t="n">
        <v>100</v>
      </c>
      <c r="I20" s="9" t="n">
        <v>44</v>
      </c>
      <c r="J20" s="18" t="n">
        <v>100</v>
      </c>
      <c r="K20" s="18" t="n">
        <v>73</v>
      </c>
      <c r="L20" s="19" t="n">
        <v>100</v>
      </c>
      <c r="M20" s="19" t="n">
        <v>65</v>
      </c>
      <c r="N20" s="20" t="n">
        <v>100</v>
      </c>
      <c r="O20" s="20" t="n">
        <v>61</v>
      </c>
      <c r="P20" s="11" t="n">
        <v>600</v>
      </c>
      <c r="Q20" s="11" t="n">
        <f aca="false">E20+G20+I20+K20+M20+O20</f>
        <v>390</v>
      </c>
      <c r="R20" s="12" t="n">
        <f aca="false">ROUND(Q20/P20*100,2)</f>
        <v>65</v>
      </c>
      <c r="S20" s="13" t="str">
        <f aca="false">IF(R20&gt;=90,"A+",IF(R20&gt;=80,"A",IF(R20&gt;=70,"B+",IF(R20&gt;=60,"B",IF(R20&gt;=45,"C",IF(R20&gt;=33,"D","F"))))))</f>
        <v>B</v>
      </c>
      <c r="T20" s="14" t="str">
        <f aca="false">IF(AND(E20&gt;=33,G20&gt;=33,I20&gt;=33,K20&gt;=33,M20&gt;=33,O20&gt;=33),"Pass","Fail")</f>
        <v>Pass</v>
      </c>
    </row>
    <row r="21" customFormat="false" ht="18" hidden="false" customHeight="true" outlineLevel="0" collapsed="false">
      <c r="A21" s="15" t="s">
        <v>40</v>
      </c>
      <c r="B21" s="16" t="s">
        <v>43</v>
      </c>
      <c r="C21" s="17" t="n">
        <v>3</v>
      </c>
      <c r="D21" s="7" t="n">
        <v>100</v>
      </c>
      <c r="E21" s="7" t="n">
        <v>78</v>
      </c>
      <c r="F21" s="8" t="n">
        <v>100</v>
      </c>
      <c r="G21" s="8" t="n">
        <v>55</v>
      </c>
      <c r="H21" s="9" t="n">
        <v>100</v>
      </c>
      <c r="I21" s="9" t="n">
        <v>100</v>
      </c>
      <c r="J21" s="18" t="n">
        <v>100</v>
      </c>
      <c r="K21" s="18" t="n">
        <v>100</v>
      </c>
      <c r="L21" s="19" t="n">
        <v>100</v>
      </c>
      <c r="M21" s="19" t="n">
        <v>58</v>
      </c>
      <c r="N21" s="20" t="n">
        <v>100</v>
      </c>
      <c r="O21" s="20" t="n">
        <v>47</v>
      </c>
      <c r="P21" s="11" t="n">
        <v>600</v>
      </c>
      <c r="Q21" s="11" t="n">
        <f aca="false">E21+G21+I21+K21+M21+O21</f>
        <v>438</v>
      </c>
      <c r="R21" s="12" t="n">
        <f aca="false">ROUND(Q21/P21*100,2)</f>
        <v>73</v>
      </c>
      <c r="S21" s="13" t="str">
        <f aca="false">IF(R21&gt;=90,"A+",IF(R21&gt;=80,"A",IF(R21&gt;=70,"B+",IF(R21&gt;=60,"B",IF(R21&gt;=45,"C",IF(R21&gt;=33,"D","F"))))))</f>
        <v>B+</v>
      </c>
      <c r="T21" s="14" t="str">
        <f aca="false">IF(AND(E21&gt;=33,G21&gt;=33,I21&gt;=33,K21&gt;=33,M21&gt;=33,O21&gt;=33),"Pass","Fail")</f>
        <v>Pass</v>
      </c>
    </row>
    <row r="22" customFormat="false" ht="18" hidden="false" customHeight="true" outlineLevel="0" collapsed="false">
      <c r="A22" s="15" t="s">
        <v>40</v>
      </c>
      <c r="B22" s="16" t="s">
        <v>44</v>
      </c>
      <c r="C22" s="17" t="n">
        <v>4</v>
      </c>
      <c r="D22" s="7" t="n">
        <v>100</v>
      </c>
      <c r="E22" s="7" t="n">
        <v>34</v>
      </c>
      <c r="F22" s="8" t="n">
        <v>100</v>
      </c>
      <c r="G22" s="8" t="n">
        <v>45</v>
      </c>
      <c r="H22" s="9" t="n">
        <v>100</v>
      </c>
      <c r="I22" s="9" t="n">
        <v>53</v>
      </c>
      <c r="J22" s="18" t="n">
        <v>100</v>
      </c>
      <c r="K22" s="18" t="n">
        <v>47</v>
      </c>
      <c r="L22" s="19" t="n">
        <v>100</v>
      </c>
      <c r="M22" s="19" t="n">
        <v>43</v>
      </c>
      <c r="N22" s="20" t="n">
        <v>100</v>
      </c>
      <c r="O22" s="20" t="n">
        <v>99</v>
      </c>
      <c r="P22" s="11" t="n">
        <v>600</v>
      </c>
      <c r="Q22" s="11" t="n">
        <f aca="false">E22+G22+I22+K22+M22+O22</f>
        <v>321</v>
      </c>
      <c r="R22" s="12" t="n">
        <f aca="false">ROUND(Q22/P22*100,2)</f>
        <v>53.5</v>
      </c>
      <c r="S22" s="13" t="str">
        <f aca="false">IF(R22&gt;=90,"A+",IF(R22&gt;=80,"A",IF(R22&gt;=70,"B+",IF(R22&gt;=60,"B",IF(R22&gt;=45,"C",IF(R22&gt;=33,"D","F"))))))</f>
        <v>C</v>
      </c>
      <c r="T22" s="14" t="str">
        <f aca="false">IF(AND(E22&gt;=33,G22&gt;=33,I22&gt;=33,K22&gt;=33,M22&gt;=33,O22&gt;=33),"Pass","Fail")</f>
        <v>Pass</v>
      </c>
    </row>
    <row r="23" customFormat="false" ht="18" hidden="false" customHeight="true" outlineLevel="0" collapsed="false">
      <c r="A23" s="15" t="s">
        <v>40</v>
      </c>
      <c r="B23" s="16" t="s">
        <v>45</v>
      </c>
      <c r="C23" s="17" t="n">
        <v>5</v>
      </c>
      <c r="D23" s="7" t="n">
        <v>100</v>
      </c>
      <c r="E23" s="7" t="n">
        <v>98</v>
      </c>
      <c r="F23" s="8" t="n">
        <v>100</v>
      </c>
      <c r="G23" s="8" t="n">
        <v>66</v>
      </c>
      <c r="H23" s="9" t="n">
        <v>100</v>
      </c>
      <c r="I23" s="9" t="n">
        <v>64</v>
      </c>
      <c r="J23" s="18" t="n">
        <v>100</v>
      </c>
      <c r="K23" s="18" t="n">
        <v>65</v>
      </c>
      <c r="L23" s="19" t="n">
        <v>100</v>
      </c>
      <c r="M23" s="19" t="n">
        <v>41</v>
      </c>
      <c r="N23" s="20" t="n">
        <v>100</v>
      </c>
      <c r="O23" s="20" t="n">
        <v>84</v>
      </c>
      <c r="P23" s="11" t="n">
        <v>600</v>
      </c>
      <c r="Q23" s="11" t="n">
        <f aca="false">E23+G23+I23+K23+M23+O23</f>
        <v>418</v>
      </c>
      <c r="R23" s="12" t="n">
        <f aca="false">ROUND(Q23/P23*100,2)</f>
        <v>69.67</v>
      </c>
      <c r="S23" s="13" t="str">
        <f aca="false">IF(R23&gt;=90,"A+",IF(R23&gt;=80,"A",IF(R23&gt;=70,"B+",IF(R23&gt;=60,"B",IF(R23&gt;=45,"C",IF(R23&gt;=33,"D","F"))))))</f>
        <v>B</v>
      </c>
      <c r="T23" s="14" t="str">
        <f aca="false">IF(AND(E23&gt;=33,G23&gt;=33,I23&gt;=33,K23&gt;=33,M23&gt;=33,O23&gt;=33),"Pass","Fail")</f>
        <v>Pass</v>
      </c>
    </row>
    <row r="24" customFormat="false" ht="18" hidden="false" customHeight="true" outlineLevel="0" collapsed="false">
      <c r="A24" s="15" t="s">
        <v>40</v>
      </c>
      <c r="B24" s="16" t="s">
        <v>46</v>
      </c>
      <c r="C24" s="17" t="n">
        <v>6</v>
      </c>
      <c r="D24" s="7" t="n">
        <v>100</v>
      </c>
      <c r="E24" s="7" t="n">
        <v>41</v>
      </c>
      <c r="F24" s="8" t="n">
        <v>100</v>
      </c>
      <c r="G24" s="8" t="n">
        <v>85</v>
      </c>
      <c r="H24" s="9" t="n">
        <v>100</v>
      </c>
      <c r="I24" s="9" t="n">
        <v>57</v>
      </c>
      <c r="J24" s="18" t="n">
        <v>100</v>
      </c>
      <c r="K24" s="18" t="n">
        <v>100</v>
      </c>
      <c r="L24" s="19" t="n">
        <v>100</v>
      </c>
      <c r="M24" s="19" t="n">
        <v>34</v>
      </c>
      <c r="N24" s="20" t="n">
        <v>100</v>
      </c>
      <c r="O24" s="20" t="n">
        <v>33</v>
      </c>
      <c r="P24" s="11" t="n">
        <v>600</v>
      </c>
      <c r="Q24" s="11" t="n">
        <f aca="false">E24+G24+I24+K24+M24+O24</f>
        <v>350</v>
      </c>
      <c r="R24" s="12" t="n">
        <f aca="false">ROUND(Q24/P24*100,2)</f>
        <v>58.33</v>
      </c>
      <c r="S24" s="13" t="str">
        <f aca="false">IF(R24&gt;=90,"A+",IF(R24&gt;=80,"A",IF(R24&gt;=70,"B+",IF(R24&gt;=60,"B",IF(R24&gt;=45,"C",IF(R24&gt;=33,"D","F"))))))</f>
        <v>C</v>
      </c>
      <c r="T24" s="14" t="str">
        <f aca="false">IF(AND(E24&gt;=33,G24&gt;=33,I24&gt;=33,K24&gt;=33,M24&gt;=33,O24&gt;=33),"Pass","Fail")</f>
        <v>Pass</v>
      </c>
    </row>
    <row r="25" customFormat="false" ht="18" hidden="false" customHeight="true" outlineLevel="0" collapsed="false">
      <c r="A25" s="15" t="s">
        <v>40</v>
      </c>
      <c r="B25" s="16" t="s">
        <v>47</v>
      </c>
      <c r="C25" s="17" t="n">
        <v>7</v>
      </c>
      <c r="D25" s="7" t="n">
        <v>100</v>
      </c>
      <c r="E25" s="7" t="n">
        <v>65</v>
      </c>
      <c r="F25" s="8" t="n">
        <v>100</v>
      </c>
      <c r="G25" s="8" t="n">
        <v>57</v>
      </c>
      <c r="H25" s="9" t="n">
        <v>100</v>
      </c>
      <c r="I25" s="9" t="n">
        <v>97</v>
      </c>
      <c r="J25" s="18" t="n">
        <v>100</v>
      </c>
      <c r="K25" s="18" t="n">
        <v>60</v>
      </c>
      <c r="L25" s="19" t="n">
        <v>100</v>
      </c>
      <c r="M25" s="19" t="n">
        <v>41</v>
      </c>
      <c r="N25" s="20" t="n">
        <v>100</v>
      </c>
      <c r="O25" s="20" t="n">
        <v>57</v>
      </c>
      <c r="P25" s="11" t="n">
        <v>600</v>
      </c>
      <c r="Q25" s="11" t="n">
        <f aca="false">E25+G25+I25+K25+M25+O25</f>
        <v>377</v>
      </c>
      <c r="R25" s="12" t="n">
        <f aca="false">ROUND(Q25/P25*100,2)</f>
        <v>62.83</v>
      </c>
      <c r="S25" s="13" t="str">
        <f aca="false">IF(R25&gt;=90,"A+",IF(R25&gt;=80,"A",IF(R25&gt;=70,"B+",IF(R25&gt;=60,"B",IF(R25&gt;=45,"C",IF(R25&gt;=33,"D","F"))))))</f>
        <v>B</v>
      </c>
      <c r="T25" s="14" t="str">
        <f aca="false">IF(AND(E25&gt;=33,G25&gt;=33,I25&gt;=33,K25&gt;=33,M25&gt;=33,O25&gt;=33),"Pass","Fail")</f>
        <v>Pass</v>
      </c>
    </row>
    <row r="26" customFormat="false" ht="18" hidden="false" customHeight="true" outlineLevel="0" collapsed="false">
      <c r="A26" s="15" t="s">
        <v>40</v>
      </c>
      <c r="B26" s="16" t="s">
        <v>48</v>
      </c>
      <c r="C26" s="17" t="n">
        <v>8</v>
      </c>
      <c r="D26" s="7" t="n">
        <v>100</v>
      </c>
      <c r="E26" s="7" t="n">
        <v>50</v>
      </c>
      <c r="F26" s="8" t="n">
        <v>100</v>
      </c>
      <c r="G26" s="8" t="n">
        <v>33</v>
      </c>
      <c r="H26" s="9" t="n">
        <v>100</v>
      </c>
      <c r="I26" s="9" t="n">
        <v>63</v>
      </c>
      <c r="J26" s="18" t="n">
        <v>100</v>
      </c>
      <c r="K26" s="18" t="n">
        <v>84</v>
      </c>
      <c r="L26" s="19" t="n">
        <v>100</v>
      </c>
      <c r="M26" s="19" t="n">
        <v>59</v>
      </c>
      <c r="N26" s="20" t="n">
        <v>100</v>
      </c>
      <c r="O26" s="20" t="n">
        <v>94</v>
      </c>
      <c r="P26" s="11" t="n">
        <v>600</v>
      </c>
      <c r="Q26" s="11" t="n">
        <f aca="false">E26+G26+I26+K26+M26+O26</f>
        <v>383</v>
      </c>
      <c r="R26" s="12" t="n">
        <f aca="false">ROUND(Q26/P26*100,2)</f>
        <v>63.83</v>
      </c>
      <c r="S26" s="13" t="str">
        <f aca="false">IF(R26&gt;=90,"A+",IF(R26&gt;=80,"A",IF(R26&gt;=70,"B+",IF(R26&gt;=60,"B",IF(R26&gt;=45,"C",IF(R26&gt;=33,"D","F"))))))</f>
        <v>B</v>
      </c>
      <c r="T26" s="14" t="str">
        <f aca="false">IF(AND(E26&gt;=33,G26&gt;=33,I26&gt;=33,K26&gt;=33,M26&gt;=33,O26&gt;=33),"Pass","Fail")</f>
        <v>Pass</v>
      </c>
    </row>
    <row r="27" customFormat="false" ht="18" hidden="false" customHeight="true" outlineLevel="0" collapsed="false">
      <c r="A27" s="15" t="s">
        <v>40</v>
      </c>
      <c r="B27" s="16" t="s">
        <v>49</v>
      </c>
      <c r="C27" s="17" t="n">
        <v>9</v>
      </c>
      <c r="D27" s="7" t="n">
        <v>100</v>
      </c>
      <c r="E27" s="7" t="n">
        <v>48</v>
      </c>
      <c r="F27" s="8" t="n">
        <v>100</v>
      </c>
      <c r="G27" s="8" t="n">
        <v>90</v>
      </c>
      <c r="H27" s="9" t="n">
        <v>100</v>
      </c>
      <c r="I27" s="9" t="n">
        <v>43</v>
      </c>
      <c r="J27" s="18" t="n">
        <v>100</v>
      </c>
      <c r="K27" s="18" t="n">
        <v>55</v>
      </c>
      <c r="L27" s="19" t="n">
        <v>100</v>
      </c>
      <c r="M27" s="19" t="n">
        <v>33</v>
      </c>
      <c r="N27" s="20" t="n">
        <v>100</v>
      </c>
      <c r="O27" s="20" t="n">
        <v>55</v>
      </c>
      <c r="P27" s="11" t="n">
        <v>600</v>
      </c>
      <c r="Q27" s="11" t="n">
        <f aca="false">E27+G27+I27+K27+M27+O27</f>
        <v>324</v>
      </c>
      <c r="R27" s="12" t="n">
        <f aca="false">ROUND(Q27/P27*100,2)</f>
        <v>54</v>
      </c>
      <c r="S27" s="13" t="str">
        <f aca="false">IF(R27&gt;=90,"A+",IF(R27&gt;=80,"A",IF(R27&gt;=70,"B+",IF(R27&gt;=60,"B",IF(R27&gt;=45,"C",IF(R27&gt;=33,"D","F"))))))</f>
        <v>C</v>
      </c>
      <c r="T27" s="14" t="str">
        <f aca="false">IF(AND(E27&gt;=33,G27&gt;=33,I27&gt;=33,K27&gt;=33,M27&gt;=33,O27&gt;=33),"Pass","Fail")</f>
        <v>Pass</v>
      </c>
    </row>
    <row r="28" customFormat="false" ht="18" hidden="false" customHeight="true" outlineLevel="0" collapsed="false">
      <c r="A28" s="15" t="s">
        <v>40</v>
      </c>
      <c r="B28" s="16" t="s">
        <v>50</v>
      </c>
      <c r="C28" s="17" t="n">
        <v>10</v>
      </c>
      <c r="D28" s="7" t="n">
        <v>100</v>
      </c>
      <c r="E28" s="7" t="n">
        <v>34</v>
      </c>
      <c r="F28" s="8" t="n">
        <v>100</v>
      </c>
      <c r="G28" s="8" t="n">
        <v>46</v>
      </c>
      <c r="H28" s="9" t="n">
        <v>100</v>
      </c>
      <c r="I28" s="9" t="n">
        <v>98</v>
      </c>
      <c r="J28" s="18" t="n">
        <v>100</v>
      </c>
      <c r="K28" s="18" t="n">
        <v>69</v>
      </c>
      <c r="L28" s="19" t="n">
        <v>100</v>
      </c>
      <c r="M28" s="19" t="n">
        <v>99</v>
      </c>
      <c r="N28" s="20" t="n">
        <v>100</v>
      </c>
      <c r="O28" s="20" t="n">
        <v>83</v>
      </c>
      <c r="P28" s="11" t="n">
        <v>600</v>
      </c>
      <c r="Q28" s="11" t="n">
        <f aca="false">E28+G28+I28+K28+M28+O28</f>
        <v>429</v>
      </c>
      <c r="R28" s="12" t="n">
        <f aca="false">ROUND(Q28/P28*100,2)</f>
        <v>71.5</v>
      </c>
      <c r="S28" s="13" t="str">
        <f aca="false">IF(R28&gt;=90,"A+",IF(R28&gt;=80,"A",IF(R28&gt;=70,"B+",IF(R28&gt;=60,"B",IF(R28&gt;=45,"C",IF(R28&gt;=33,"D","F"))))))</f>
        <v>B+</v>
      </c>
      <c r="T28" s="14" t="str">
        <f aca="false">IF(AND(E28&gt;=33,G28&gt;=33,I28&gt;=33,K28&gt;=33,M28&gt;=33,O28&gt;=33),"Pass","Fail")</f>
        <v>Pass</v>
      </c>
    </row>
    <row r="29" customFormat="false" ht="18" hidden="false" customHeight="true" outlineLevel="0" collapsed="false">
      <c r="A29" s="15" t="s">
        <v>51</v>
      </c>
      <c r="B29" s="16" t="s">
        <v>52</v>
      </c>
      <c r="C29" s="17" t="n">
        <v>1</v>
      </c>
      <c r="D29" s="7" t="n">
        <v>100</v>
      </c>
      <c r="E29" s="7" t="n">
        <v>34</v>
      </c>
      <c r="F29" s="8" t="n">
        <v>100</v>
      </c>
      <c r="G29" s="8" t="n">
        <v>100</v>
      </c>
      <c r="H29" s="9" t="n">
        <v>100</v>
      </c>
      <c r="I29" s="9" t="n">
        <v>53</v>
      </c>
      <c r="J29" s="18" t="n">
        <v>100</v>
      </c>
      <c r="K29" s="18" t="n">
        <v>59</v>
      </c>
      <c r="L29" s="19" t="n">
        <v>100</v>
      </c>
      <c r="M29" s="19" t="n">
        <v>58</v>
      </c>
      <c r="N29" s="20" t="n">
        <v>100</v>
      </c>
      <c r="O29" s="20" t="n">
        <v>87</v>
      </c>
      <c r="P29" s="11" t="n">
        <v>600</v>
      </c>
      <c r="Q29" s="11" t="n">
        <f aca="false">E29+G29+I29+K29+M29+O29</f>
        <v>391</v>
      </c>
      <c r="R29" s="12" t="n">
        <f aca="false">ROUND(Q29/P29*100,2)</f>
        <v>65.17</v>
      </c>
      <c r="S29" s="13" t="str">
        <f aca="false">IF(R29&gt;=90,"A+",IF(R29&gt;=80,"A",IF(R29&gt;=70,"B+",IF(R29&gt;=60,"B",IF(R29&gt;=45,"C",IF(R29&gt;=33,"D","F"))))))</f>
        <v>B</v>
      </c>
      <c r="T29" s="14" t="str">
        <f aca="false">IF(AND(E29&gt;=33,G29&gt;=33,I29&gt;=33,K29&gt;=33,M29&gt;=33,O29&gt;=33),"Pass","Fail")</f>
        <v>Pass</v>
      </c>
    </row>
    <row r="30" customFormat="false" ht="18" hidden="false" customHeight="true" outlineLevel="0" collapsed="false">
      <c r="A30" s="15" t="s">
        <v>51</v>
      </c>
      <c r="B30" s="16" t="s">
        <v>53</v>
      </c>
      <c r="C30" s="17" t="n">
        <v>2</v>
      </c>
      <c r="D30" s="7" t="n">
        <v>100</v>
      </c>
      <c r="E30" s="7" t="n">
        <v>97</v>
      </c>
      <c r="F30" s="8" t="n">
        <v>100</v>
      </c>
      <c r="G30" s="8" t="n">
        <v>56</v>
      </c>
      <c r="H30" s="9" t="n">
        <v>100</v>
      </c>
      <c r="I30" s="9" t="n">
        <v>80</v>
      </c>
      <c r="J30" s="18" t="n">
        <v>100</v>
      </c>
      <c r="K30" s="18" t="n">
        <v>59</v>
      </c>
      <c r="L30" s="19" t="n">
        <v>100</v>
      </c>
      <c r="M30" s="19" t="n">
        <v>65</v>
      </c>
      <c r="N30" s="20" t="n">
        <v>100</v>
      </c>
      <c r="O30" s="20" t="n">
        <v>30</v>
      </c>
      <c r="P30" s="11" t="n">
        <v>600</v>
      </c>
      <c r="Q30" s="11" t="n">
        <f aca="false">E30+G30+I30+K30+M30+O30</f>
        <v>387</v>
      </c>
      <c r="R30" s="12" t="n">
        <f aca="false">ROUND(Q30/P30*100,2)</f>
        <v>64.5</v>
      </c>
      <c r="S30" s="13" t="str">
        <f aca="false">IF(R30&gt;=90,"A+",IF(R30&gt;=80,"A",IF(R30&gt;=70,"B+",IF(R30&gt;=60,"B",IF(R30&gt;=45,"C",IF(R30&gt;=33,"D","F"))))))</f>
        <v>B</v>
      </c>
      <c r="T30" s="14" t="str">
        <f aca="false">IF(AND(E30&gt;=33,G30&gt;=33,I30&gt;=33,K30&gt;=33,M30&gt;=33,O30&gt;=33),"Pass","Fail")</f>
        <v>Fail</v>
      </c>
    </row>
    <row r="31" customFormat="false" ht="18" hidden="false" customHeight="true" outlineLevel="0" collapsed="false">
      <c r="A31" s="15" t="s">
        <v>51</v>
      </c>
      <c r="B31" s="16" t="s">
        <v>54</v>
      </c>
      <c r="C31" s="17" t="n">
        <v>3</v>
      </c>
      <c r="D31" s="7" t="n">
        <v>100</v>
      </c>
      <c r="E31" s="7" t="n">
        <v>69</v>
      </c>
      <c r="F31" s="8" t="n">
        <v>100</v>
      </c>
      <c r="G31" s="8" t="n">
        <v>72</v>
      </c>
      <c r="H31" s="9" t="n">
        <v>100</v>
      </c>
      <c r="I31" s="9" t="n">
        <v>96</v>
      </c>
      <c r="J31" s="18" t="n">
        <v>100</v>
      </c>
      <c r="K31" s="18" t="n">
        <v>31</v>
      </c>
      <c r="L31" s="19" t="n">
        <v>100</v>
      </c>
      <c r="M31" s="19" t="n">
        <v>50</v>
      </c>
      <c r="N31" s="20" t="n">
        <v>100</v>
      </c>
      <c r="O31" s="20" t="n">
        <v>84</v>
      </c>
      <c r="P31" s="11" t="n">
        <v>600</v>
      </c>
      <c r="Q31" s="11" t="n">
        <f aca="false">E31+G31+I31+K31+M31+O31</f>
        <v>402</v>
      </c>
      <c r="R31" s="12" t="n">
        <f aca="false">ROUND(Q31/P31*100,2)</f>
        <v>67</v>
      </c>
      <c r="S31" s="13" t="str">
        <f aca="false">IF(R31&gt;=90,"A+",IF(R31&gt;=80,"A",IF(R31&gt;=70,"B+",IF(R31&gt;=60,"B",IF(R31&gt;=45,"C",IF(R31&gt;=33,"D","F"))))))</f>
        <v>B</v>
      </c>
      <c r="T31" s="14" t="str">
        <f aca="false">IF(AND(E31&gt;=33,G31&gt;=33,I31&gt;=33,K31&gt;=33,M31&gt;=33,O31&gt;=33),"Pass","Fail")</f>
        <v>Fail</v>
      </c>
    </row>
    <row r="32" customFormat="false" ht="18" hidden="false" customHeight="true" outlineLevel="0" collapsed="false">
      <c r="A32" s="15" t="s">
        <v>51</v>
      </c>
      <c r="B32" s="16" t="s">
        <v>55</v>
      </c>
      <c r="C32" s="17" t="n">
        <v>4</v>
      </c>
      <c r="D32" s="7" t="n">
        <v>100</v>
      </c>
      <c r="E32" s="7" t="n">
        <v>83</v>
      </c>
      <c r="F32" s="8" t="n">
        <v>100</v>
      </c>
      <c r="G32" s="8" t="n">
        <v>67</v>
      </c>
      <c r="H32" s="9" t="n">
        <v>100</v>
      </c>
      <c r="I32" s="9" t="n">
        <v>93</v>
      </c>
      <c r="J32" s="18" t="n">
        <v>100</v>
      </c>
      <c r="K32" s="18" t="n">
        <v>100</v>
      </c>
      <c r="L32" s="19" t="n">
        <v>100</v>
      </c>
      <c r="M32" s="19" t="n">
        <v>73</v>
      </c>
      <c r="N32" s="20" t="n">
        <v>100</v>
      </c>
      <c r="O32" s="20" t="n">
        <v>65</v>
      </c>
      <c r="P32" s="11" t="n">
        <v>600</v>
      </c>
      <c r="Q32" s="11" t="n">
        <f aca="false">E32+G32+I32+K32+M32+O32</f>
        <v>481</v>
      </c>
      <c r="R32" s="12" t="n">
        <f aca="false">ROUND(Q32/P32*100,2)</f>
        <v>80.17</v>
      </c>
      <c r="S32" s="13" t="str">
        <f aca="false">IF(R32&gt;=90,"A+",IF(R32&gt;=80,"A",IF(R32&gt;=70,"B+",IF(R32&gt;=60,"B",IF(R32&gt;=45,"C",IF(R32&gt;=33,"D","F"))))))</f>
        <v>A</v>
      </c>
      <c r="T32" s="14" t="str">
        <f aca="false">IF(AND(E32&gt;=33,G32&gt;=33,I32&gt;=33,K32&gt;=33,M32&gt;=33,O32&gt;=33),"Pass","Fail")</f>
        <v>Pass</v>
      </c>
    </row>
    <row r="33" customFormat="false" ht="18" hidden="false" customHeight="true" outlineLevel="0" collapsed="false">
      <c r="A33" s="15" t="s">
        <v>51</v>
      </c>
      <c r="B33" s="16" t="s">
        <v>56</v>
      </c>
      <c r="C33" s="17" t="n">
        <v>5</v>
      </c>
      <c r="D33" s="7" t="n">
        <v>100</v>
      </c>
      <c r="E33" s="7" t="n">
        <v>33</v>
      </c>
      <c r="F33" s="8" t="n">
        <v>100</v>
      </c>
      <c r="G33" s="8" t="n">
        <v>56</v>
      </c>
      <c r="H33" s="9" t="n">
        <v>100</v>
      </c>
      <c r="I33" s="9" t="n">
        <v>72</v>
      </c>
      <c r="J33" s="18" t="n">
        <v>100</v>
      </c>
      <c r="K33" s="18" t="n">
        <v>99</v>
      </c>
      <c r="L33" s="19" t="n">
        <v>100</v>
      </c>
      <c r="M33" s="19" t="n">
        <v>49</v>
      </c>
      <c r="N33" s="20" t="n">
        <v>100</v>
      </c>
      <c r="O33" s="20" t="n">
        <v>57</v>
      </c>
      <c r="P33" s="11" t="n">
        <v>600</v>
      </c>
      <c r="Q33" s="11" t="n">
        <f aca="false">E33+G33+I33+K33+M33+O33</f>
        <v>366</v>
      </c>
      <c r="R33" s="12" t="n">
        <f aca="false">ROUND(Q33/P33*100,2)</f>
        <v>61</v>
      </c>
      <c r="S33" s="13" t="str">
        <f aca="false">IF(R33&gt;=90,"A+",IF(R33&gt;=80,"A",IF(R33&gt;=70,"B+",IF(R33&gt;=60,"B",IF(R33&gt;=45,"C",IF(R33&gt;=33,"D","F"))))))</f>
        <v>B</v>
      </c>
      <c r="T33" s="14" t="str">
        <f aca="false">IF(AND(E33&gt;=33,G33&gt;=33,I33&gt;=33,K33&gt;=33,M33&gt;=33,O33&gt;=33),"Pass","Fail")</f>
        <v>Pass</v>
      </c>
    </row>
    <row r="34" customFormat="false" ht="18" hidden="false" customHeight="true" outlineLevel="0" collapsed="false">
      <c r="A34" s="15" t="s">
        <v>51</v>
      </c>
      <c r="B34" s="16" t="s">
        <v>57</v>
      </c>
      <c r="C34" s="17" t="n">
        <v>6</v>
      </c>
      <c r="D34" s="7" t="n">
        <v>100</v>
      </c>
      <c r="E34" s="7" t="n">
        <v>37</v>
      </c>
      <c r="F34" s="8" t="n">
        <v>100</v>
      </c>
      <c r="G34" s="8" t="n">
        <v>32</v>
      </c>
      <c r="H34" s="9" t="n">
        <v>100</v>
      </c>
      <c r="I34" s="9" t="n">
        <v>86</v>
      </c>
      <c r="J34" s="18" t="n">
        <v>100</v>
      </c>
      <c r="K34" s="18" t="n">
        <v>86</v>
      </c>
      <c r="L34" s="19" t="n">
        <v>100</v>
      </c>
      <c r="M34" s="19" t="n">
        <v>73</v>
      </c>
      <c r="N34" s="20" t="n">
        <v>100</v>
      </c>
      <c r="O34" s="20" t="n">
        <v>43</v>
      </c>
      <c r="P34" s="11" t="n">
        <v>600</v>
      </c>
      <c r="Q34" s="11" t="n">
        <f aca="false">E34+G34+I34+K34+M34+O34</f>
        <v>357</v>
      </c>
      <c r="R34" s="12" t="n">
        <f aca="false">ROUND(Q34/P34*100,2)</f>
        <v>59.5</v>
      </c>
      <c r="S34" s="13" t="str">
        <f aca="false">IF(R34&gt;=90,"A+",IF(R34&gt;=80,"A",IF(R34&gt;=70,"B+",IF(R34&gt;=60,"B",IF(R34&gt;=45,"C",IF(R34&gt;=33,"D","F"))))))</f>
        <v>C</v>
      </c>
      <c r="T34" s="14" t="str">
        <f aca="false">IF(AND(E34&gt;=33,G34&gt;=33,I34&gt;=33,K34&gt;=33,M34&gt;=33,O34&gt;=33),"Pass","Fail")</f>
        <v>Fail</v>
      </c>
    </row>
    <row r="35" customFormat="false" ht="18" hidden="false" customHeight="true" outlineLevel="0" collapsed="false">
      <c r="A35" s="15" t="s">
        <v>51</v>
      </c>
      <c r="B35" s="16" t="s">
        <v>58</v>
      </c>
      <c r="C35" s="17" t="n">
        <v>7</v>
      </c>
      <c r="D35" s="7" t="n">
        <v>100</v>
      </c>
      <c r="E35" s="7" t="n">
        <v>33</v>
      </c>
      <c r="F35" s="8" t="n">
        <v>100</v>
      </c>
      <c r="G35" s="8" t="n">
        <v>40</v>
      </c>
      <c r="H35" s="9" t="n">
        <v>100</v>
      </c>
      <c r="I35" s="9" t="n">
        <v>84</v>
      </c>
      <c r="J35" s="18" t="n">
        <v>100</v>
      </c>
      <c r="K35" s="18" t="n">
        <v>64</v>
      </c>
      <c r="L35" s="19" t="n">
        <v>100</v>
      </c>
      <c r="M35" s="19" t="n">
        <v>41</v>
      </c>
      <c r="N35" s="20" t="n">
        <v>100</v>
      </c>
      <c r="O35" s="20" t="n">
        <v>78</v>
      </c>
      <c r="P35" s="11" t="n">
        <v>600</v>
      </c>
      <c r="Q35" s="11" t="n">
        <f aca="false">E35+G35+I35+K35+M35+O35</f>
        <v>340</v>
      </c>
      <c r="R35" s="12" t="n">
        <f aca="false">ROUND(Q35/P35*100,2)</f>
        <v>56.67</v>
      </c>
      <c r="S35" s="13" t="str">
        <f aca="false">IF(R35&gt;=90,"A+",IF(R35&gt;=80,"A",IF(R35&gt;=70,"B+",IF(R35&gt;=60,"B",IF(R35&gt;=45,"C",IF(R35&gt;=33,"D","F"))))))</f>
        <v>C</v>
      </c>
      <c r="T35" s="14" t="str">
        <f aca="false">IF(AND(E35&gt;=33,G35&gt;=33,I35&gt;=33,K35&gt;=33,M35&gt;=33,O35&gt;=33),"Pass","Fail")</f>
        <v>Pass</v>
      </c>
    </row>
    <row r="36" customFormat="false" ht="18" hidden="false" customHeight="true" outlineLevel="0" collapsed="false">
      <c r="A36" s="15" t="s">
        <v>51</v>
      </c>
      <c r="B36" s="16" t="s">
        <v>59</v>
      </c>
      <c r="C36" s="17" t="n">
        <v>8</v>
      </c>
      <c r="D36" s="7" t="n">
        <v>100</v>
      </c>
      <c r="E36" s="7" t="n">
        <v>46</v>
      </c>
      <c r="F36" s="8" t="n">
        <v>100</v>
      </c>
      <c r="G36" s="8" t="n">
        <v>87</v>
      </c>
      <c r="H36" s="9" t="n">
        <v>100</v>
      </c>
      <c r="I36" s="9" t="n">
        <v>54</v>
      </c>
      <c r="J36" s="18" t="n">
        <v>100</v>
      </c>
      <c r="K36" s="18" t="n">
        <v>60</v>
      </c>
      <c r="L36" s="19" t="n">
        <v>100</v>
      </c>
      <c r="M36" s="19" t="n">
        <v>42</v>
      </c>
      <c r="N36" s="20" t="n">
        <v>100</v>
      </c>
      <c r="O36" s="20" t="n">
        <v>75</v>
      </c>
      <c r="P36" s="11" t="n">
        <v>600</v>
      </c>
      <c r="Q36" s="11" t="n">
        <f aca="false">E36+G36+I36+K36+M36+O36</f>
        <v>364</v>
      </c>
      <c r="R36" s="12" t="n">
        <f aca="false">ROUND(Q36/P36*100,2)</f>
        <v>60.67</v>
      </c>
      <c r="S36" s="13" t="str">
        <f aca="false">IF(R36&gt;=90,"A+",IF(R36&gt;=80,"A",IF(R36&gt;=70,"B+",IF(R36&gt;=60,"B",IF(R36&gt;=45,"C",IF(R36&gt;=33,"D","F"))))))</f>
        <v>B</v>
      </c>
      <c r="T36" s="14" t="str">
        <f aca="false">IF(AND(E36&gt;=33,G36&gt;=33,I36&gt;=33,K36&gt;=33,M36&gt;=33,O36&gt;=33),"Pass","Fail")</f>
        <v>Pass</v>
      </c>
    </row>
    <row r="37" customFormat="false" ht="18" hidden="false" customHeight="true" outlineLevel="0" collapsed="false">
      <c r="A37" s="15" t="s">
        <v>51</v>
      </c>
      <c r="B37" s="16" t="s">
        <v>60</v>
      </c>
      <c r="C37" s="17" t="n">
        <v>9</v>
      </c>
      <c r="D37" s="7" t="n">
        <v>100</v>
      </c>
      <c r="E37" s="7" t="n">
        <v>66</v>
      </c>
      <c r="F37" s="8" t="n">
        <v>100</v>
      </c>
      <c r="G37" s="8" t="n">
        <v>90</v>
      </c>
      <c r="H37" s="9" t="n">
        <v>100</v>
      </c>
      <c r="I37" s="9" t="n">
        <v>90</v>
      </c>
      <c r="J37" s="18" t="n">
        <v>100</v>
      </c>
      <c r="K37" s="18" t="n">
        <v>73</v>
      </c>
      <c r="L37" s="19" t="n">
        <v>100</v>
      </c>
      <c r="M37" s="19" t="n">
        <v>74</v>
      </c>
      <c r="N37" s="20" t="n">
        <v>100</v>
      </c>
      <c r="O37" s="20" t="n">
        <v>63</v>
      </c>
      <c r="P37" s="11" t="n">
        <v>600</v>
      </c>
      <c r="Q37" s="11" t="n">
        <f aca="false">E37+G37+I37+K37+M37+O37</f>
        <v>456</v>
      </c>
      <c r="R37" s="12" t="n">
        <f aca="false">ROUND(Q37/P37*100,2)</f>
        <v>76</v>
      </c>
      <c r="S37" s="13" t="str">
        <f aca="false">IF(R37&gt;=90,"A+",IF(R37&gt;=80,"A",IF(R37&gt;=70,"B+",IF(R37&gt;=60,"B",IF(R37&gt;=45,"C",IF(R37&gt;=33,"D","F"))))))</f>
        <v>B+</v>
      </c>
      <c r="T37" s="14" t="str">
        <f aca="false">IF(AND(E37&gt;=33,G37&gt;=33,I37&gt;=33,K37&gt;=33,M37&gt;=33,O37&gt;=33),"Pass","Fail")</f>
        <v>Pass</v>
      </c>
    </row>
    <row r="38" customFormat="false" ht="18" hidden="false" customHeight="true" outlineLevel="0" collapsed="false">
      <c r="A38" s="15" t="s">
        <v>51</v>
      </c>
      <c r="B38" s="16" t="s">
        <v>61</v>
      </c>
      <c r="C38" s="17" t="n">
        <v>10</v>
      </c>
      <c r="D38" s="7" t="n">
        <v>100</v>
      </c>
      <c r="E38" s="7" t="n">
        <v>41</v>
      </c>
      <c r="F38" s="8" t="n">
        <v>100</v>
      </c>
      <c r="G38" s="8" t="n">
        <v>40</v>
      </c>
      <c r="H38" s="9" t="n">
        <v>100</v>
      </c>
      <c r="I38" s="9" t="n">
        <v>50</v>
      </c>
      <c r="J38" s="18" t="n">
        <v>100</v>
      </c>
      <c r="K38" s="18" t="n">
        <v>50</v>
      </c>
      <c r="L38" s="19" t="n">
        <v>100</v>
      </c>
      <c r="M38" s="19" t="n">
        <v>35</v>
      </c>
      <c r="N38" s="20" t="n">
        <v>100</v>
      </c>
      <c r="O38" s="20" t="n">
        <v>88</v>
      </c>
      <c r="P38" s="11" t="n">
        <v>600</v>
      </c>
      <c r="Q38" s="11" t="n">
        <f aca="false">E38+G38+I38+K38+M38+O38</f>
        <v>304</v>
      </c>
      <c r="R38" s="12" t="n">
        <f aca="false">ROUND(Q38/P38*100,2)</f>
        <v>50.67</v>
      </c>
      <c r="S38" s="13" t="str">
        <f aca="false">IF(R38&gt;=90,"A+",IF(R38&gt;=80,"A",IF(R38&gt;=70,"B+",IF(R38&gt;=60,"B",IF(R38&gt;=45,"C",IF(R38&gt;=33,"D","F"))))))</f>
        <v>C</v>
      </c>
      <c r="T38" s="14" t="str">
        <f aca="false">IF(AND(E38&gt;=33,G38&gt;=33,I38&gt;=33,K38&gt;=33,M38&gt;=33,O38&gt;=33),"Pass","Fail")</f>
        <v>Pass</v>
      </c>
    </row>
    <row r="39" customFormat="false" ht="18" hidden="false" customHeight="true" outlineLevel="0" collapsed="false">
      <c r="A39" s="15" t="s">
        <v>62</v>
      </c>
      <c r="B39" s="16" t="s">
        <v>63</v>
      </c>
      <c r="C39" s="17" t="n">
        <v>1</v>
      </c>
      <c r="D39" s="7" t="n">
        <v>100</v>
      </c>
      <c r="E39" s="7" t="n">
        <v>87</v>
      </c>
      <c r="F39" s="8" t="n">
        <v>100</v>
      </c>
      <c r="G39" s="8" t="n">
        <v>76</v>
      </c>
      <c r="H39" s="9" t="n">
        <v>100</v>
      </c>
      <c r="I39" s="9" t="n">
        <v>40</v>
      </c>
      <c r="J39" s="18" t="n">
        <v>100</v>
      </c>
      <c r="K39" s="18" t="n">
        <v>66</v>
      </c>
      <c r="L39" s="19" t="n">
        <v>100</v>
      </c>
      <c r="M39" s="19" t="n">
        <v>98</v>
      </c>
      <c r="N39" s="20" t="n">
        <v>100</v>
      </c>
      <c r="O39" s="20" t="n">
        <v>45</v>
      </c>
      <c r="P39" s="11" t="n">
        <v>600</v>
      </c>
      <c r="Q39" s="11" t="n">
        <f aca="false">E39+G39+I39+K39+M39+O39</f>
        <v>412</v>
      </c>
      <c r="R39" s="12" t="n">
        <f aca="false">ROUND(Q39/P39*100,2)</f>
        <v>68.67</v>
      </c>
      <c r="S39" s="13" t="str">
        <f aca="false">IF(R39&gt;=90,"A+",IF(R39&gt;=80,"A",IF(R39&gt;=70,"B+",IF(R39&gt;=60,"B",IF(R39&gt;=45,"C",IF(R39&gt;=33,"D","F"))))))</f>
        <v>B</v>
      </c>
      <c r="T39" s="14" t="str">
        <f aca="false">IF(AND(E39&gt;=33,G39&gt;=33,I39&gt;=33,K39&gt;=33,M39&gt;=33,O39&gt;=33),"Pass","Fail")</f>
        <v>Pass</v>
      </c>
    </row>
    <row r="40" customFormat="false" ht="18" hidden="false" customHeight="true" outlineLevel="0" collapsed="false">
      <c r="A40" s="15" t="s">
        <v>62</v>
      </c>
      <c r="B40" s="16" t="s">
        <v>64</v>
      </c>
      <c r="C40" s="17" t="n">
        <v>2</v>
      </c>
      <c r="D40" s="7" t="n">
        <v>100</v>
      </c>
      <c r="E40" s="7" t="n">
        <v>54</v>
      </c>
      <c r="F40" s="8" t="n">
        <v>100</v>
      </c>
      <c r="G40" s="8" t="n">
        <v>55</v>
      </c>
      <c r="H40" s="9" t="n">
        <v>100</v>
      </c>
      <c r="I40" s="9" t="n">
        <v>63</v>
      </c>
      <c r="J40" s="18" t="n">
        <v>100</v>
      </c>
      <c r="K40" s="18" t="n">
        <v>91</v>
      </c>
      <c r="L40" s="19" t="n">
        <v>100</v>
      </c>
      <c r="M40" s="19" t="n">
        <v>78</v>
      </c>
      <c r="N40" s="20" t="n">
        <v>100</v>
      </c>
      <c r="O40" s="20" t="n">
        <v>40</v>
      </c>
      <c r="P40" s="11" t="n">
        <v>600</v>
      </c>
      <c r="Q40" s="11" t="n">
        <f aca="false">E40+G40+I40+K40+M40+O40</f>
        <v>381</v>
      </c>
      <c r="R40" s="12" t="n">
        <f aca="false">ROUND(Q40/P40*100,2)</f>
        <v>63.5</v>
      </c>
      <c r="S40" s="13" t="str">
        <f aca="false">IF(R40&gt;=90,"A+",IF(R40&gt;=80,"A",IF(R40&gt;=70,"B+",IF(R40&gt;=60,"B",IF(R40&gt;=45,"C",IF(R40&gt;=33,"D","F"))))))</f>
        <v>B</v>
      </c>
      <c r="T40" s="14" t="str">
        <f aca="false">IF(AND(E40&gt;=33,G40&gt;=33,I40&gt;=33,K40&gt;=33,M40&gt;=33,O40&gt;=33),"Pass","Fail")</f>
        <v>Pass</v>
      </c>
    </row>
    <row r="41" customFormat="false" ht="18" hidden="false" customHeight="true" outlineLevel="0" collapsed="false">
      <c r="A41" s="15" t="s">
        <v>62</v>
      </c>
      <c r="B41" s="16" t="s">
        <v>65</v>
      </c>
      <c r="C41" s="17" t="n">
        <v>3</v>
      </c>
      <c r="D41" s="7" t="n">
        <v>100</v>
      </c>
      <c r="E41" s="7" t="n">
        <v>93</v>
      </c>
      <c r="F41" s="8" t="n">
        <v>100</v>
      </c>
      <c r="G41" s="8" t="n">
        <v>67</v>
      </c>
      <c r="H41" s="9" t="n">
        <v>100</v>
      </c>
      <c r="I41" s="9" t="n">
        <v>73</v>
      </c>
      <c r="J41" s="18" t="n">
        <v>100</v>
      </c>
      <c r="K41" s="18" t="n">
        <v>84</v>
      </c>
      <c r="L41" s="19" t="n">
        <v>100</v>
      </c>
      <c r="M41" s="19" t="n">
        <v>100</v>
      </c>
      <c r="N41" s="20" t="n">
        <v>100</v>
      </c>
      <c r="O41" s="20" t="n">
        <v>67</v>
      </c>
      <c r="P41" s="11" t="n">
        <v>600</v>
      </c>
      <c r="Q41" s="11" t="n">
        <f aca="false">E41+G41+I41+K41+M41+O41</f>
        <v>484</v>
      </c>
      <c r="R41" s="12" t="n">
        <f aca="false">ROUND(Q41/P41*100,2)</f>
        <v>80.67</v>
      </c>
      <c r="S41" s="13" t="str">
        <f aca="false">IF(R41&gt;=90,"A+",IF(R41&gt;=80,"A",IF(R41&gt;=70,"B+",IF(R41&gt;=60,"B",IF(R41&gt;=45,"C",IF(R41&gt;=33,"D","F"))))))</f>
        <v>A</v>
      </c>
      <c r="T41" s="14" t="str">
        <f aca="false">IF(AND(E41&gt;=33,G41&gt;=33,I41&gt;=33,K41&gt;=33,M41&gt;=33,O41&gt;=33),"Pass","Fail")</f>
        <v>Pass</v>
      </c>
    </row>
    <row r="42" customFormat="false" ht="18" hidden="false" customHeight="true" outlineLevel="0" collapsed="false">
      <c r="A42" s="15" t="s">
        <v>62</v>
      </c>
      <c r="B42" s="16" t="s">
        <v>66</v>
      </c>
      <c r="C42" s="17" t="n">
        <v>4</v>
      </c>
      <c r="D42" s="7" t="n">
        <v>100</v>
      </c>
      <c r="E42" s="7" t="n">
        <v>97</v>
      </c>
      <c r="F42" s="8" t="n">
        <v>100</v>
      </c>
      <c r="G42" s="8" t="n">
        <v>66</v>
      </c>
      <c r="H42" s="9" t="n">
        <v>100</v>
      </c>
      <c r="I42" s="9" t="n">
        <v>96</v>
      </c>
      <c r="J42" s="18" t="n">
        <v>100</v>
      </c>
      <c r="K42" s="18" t="n">
        <v>97</v>
      </c>
      <c r="L42" s="19" t="n">
        <v>100</v>
      </c>
      <c r="M42" s="19" t="n">
        <v>76</v>
      </c>
      <c r="N42" s="20" t="n">
        <v>100</v>
      </c>
      <c r="O42" s="20" t="n">
        <v>54</v>
      </c>
      <c r="P42" s="11" t="n">
        <v>600</v>
      </c>
      <c r="Q42" s="11" t="n">
        <f aca="false">E42+G42+I42+K42+M42+O42</f>
        <v>486</v>
      </c>
      <c r="R42" s="12" t="n">
        <f aca="false">ROUND(Q42/P42*100,2)</f>
        <v>81</v>
      </c>
      <c r="S42" s="13" t="str">
        <f aca="false">IF(R42&gt;=90,"A+",IF(R42&gt;=80,"A",IF(R42&gt;=70,"B+",IF(R42&gt;=60,"B",IF(R42&gt;=45,"C",IF(R42&gt;=33,"D","F"))))))</f>
        <v>A</v>
      </c>
      <c r="T42" s="14" t="str">
        <f aca="false">IF(AND(E42&gt;=33,G42&gt;=33,I42&gt;=33,K42&gt;=33,M42&gt;=33,O42&gt;=33),"Pass","Fail")</f>
        <v>Pass</v>
      </c>
    </row>
    <row r="43" customFormat="false" ht="18" hidden="false" customHeight="true" outlineLevel="0" collapsed="false">
      <c r="A43" s="15" t="s">
        <v>62</v>
      </c>
      <c r="B43" s="16" t="s">
        <v>67</v>
      </c>
      <c r="C43" s="17" t="n">
        <v>5</v>
      </c>
      <c r="D43" s="7" t="n">
        <v>100</v>
      </c>
      <c r="E43" s="7" t="n">
        <v>60</v>
      </c>
      <c r="F43" s="8" t="n">
        <v>100</v>
      </c>
      <c r="G43" s="8" t="n">
        <v>65</v>
      </c>
      <c r="H43" s="9" t="n">
        <v>100</v>
      </c>
      <c r="I43" s="9" t="n">
        <v>97</v>
      </c>
      <c r="J43" s="18" t="n">
        <v>100</v>
      </c>
      <c r="K43" s="18" t="n">
        <v>32</v>
      </c>
      <c r="L43" s="19" t="n">
        <v>100</v>
      </c>
      <c r="M43" s="19" t="n">
        <v>38</v>
      </c>
      <c r="N43" s="20" t="n">
        <v>100</v>
      </c>
      <c r="O43" s="20" t="n">
        <v>35</v>
      </c>
      <c r="P43" s="11" t="n">
        <v>600</v>
      </c>
      <c r="Q43" s="11" t="n">
        <f aca="false">E43+G43+I43+K43+M43+O43</f>
        <v>327</v>
      </c>
      <c r="R43" s="12" t="n">
        <f aca="false">ROUND(Q43/P43*100,2)</f>
        <v>54.5</v>
      </c>
      <c r="S43" s="13" t="str">
        <f aca="false">IF(R43&gt;=90,"A+",IF(R43&gt;=80,"A",IF(R43&gt;=70,"B+",IF(R43&gt;=60,"B",IF(R43&gt;=45,"C",IF(R43&gt;=33,"D","F"))))))</f>
        <v>C</v>
      </c>
      <c r="T43" s="14" t="str">
        <f aca="false">IF(AND(E43&gt;=33,G43&gt;=33,I43&gt;=33,K43&gt;=33,M43&gt;=33,O43&gt;=33),"Pass","Fail")</f>
        <v>Fail</v>
      </c>
    </row>
    <row r="44" customFormat="false" ht="18" hidden="false" customHeight="true" outlineLevel="0" collapsed="false">
      <c r="A44" s="15" t="s">
        <v>62</v>
      </c>
      <c r="B44" s="16" t="s">
        <v>68</v>
      </c>
      <c r="C44" s="17" t="n">
        <v>6</v>
      </c>
      <c r="D44" s="7" t="n">
        <v>100</v>
      </c>
      <c r="E44" s="7" t="n">
        <v>54</v>
      </c>
      <c r="F44" s="8" t="n">
        <v>100</v>
      </c>
      <c r="G44" s="8" t="n">
        <v>40</v>
      </c>
      <c r="H44" s="9" t="n">
        <v>100</v>
      </c>
      <c r="I44" s="9" t="n">
        <v>69</v>
      </c>
      <c r="J44" s="18" t="n">
        <v>100</v>
      </c>
      <c r="K44" s="18" t="n">
        <v>87</v>
      </c>
      <c r="L44" s="19" t="n">
        <v>100</v>
      </c>
      <c r="M44" s="19" t="n">
        <v>59</v>
      </c>
      <c r="N44" s="20" t="n">
        <v>100</v>
      </c>
      <c r="O44" s="20" t="n">
        <v>67</v>
      </c>
      <c r="P44" s="11" t="n">
        <v>600</v>
      </c>
      <c r="Q44" s="11" t="n">
        <f aca="false">E44+G44+I44+K44+M44+O44</f>
        <v>376</v>
      </c>
      <c r="R44" s="12" t="n">
        <f aca="false">ROUND(Q44/P44*100,2)</f>
        <v>62.67</v>
      </c>
      <c r="S44" s="13" t="str">
        <f aca="false">IF(R44&gt;=90,"A+",IF(R44&gt;=80,"A",IF(R44&gt;=70,"B+",IF(R44&gt;=60,"B",IF(R44&gt;=45,"C",IF(R44&gt;=33,"D","F"))))))</f>
        <v>B</v>
      </c>
      <c r="T44" s="14" t="str">
        <f aca="false">IF(AND(E44&gt;=33,G44&gt;=33,I44&gt;=33,K44&gt;=33,M44&gt;=33,O44&gt;=33),"Pass","Fail")</f>
        <v>Pass</v>
      </c>
    </row>
    <row r="45" customFormat="false" ht="18" hidden="false" customHeight="true" outlineLevel="0" collapsed="false">
      <c r="A45" s="15" t="s">
        <v>62</v>
      </c>
      <c r="B45" s="16" t="s">
        <v>69</v>
      </c>
      <c r="C45" s="17" t="n">
        <v>7</v>
      </c>
      <c r="D45" s="7" t="n">
        <v>100</v>
      </c>
      <c r="E45" s="7" t="n">
        <v>81</v>
      </c>
      <c r="F45" s="8" t="n">
        <v>100</v>
      </c>
      <c r="G45" s="8" t="n">
        <v>83</v>
      </c>
      <c r="H45" s="9" t="n">
        <v>100</v>
      </c>
      <c r="I45" s="9" t="n">
        <v>62</v>
      </c>
      <c r="J45" s="18" t="n">
        <v>100</v>
      </c>
      <c r="K45" s="18" t="n">
        <v>95</v>
      </c>
      <c r="L45" s="19" t="n">
        <v>100</v>
      </c>
      <c r="M45" s="19" t="n">
        <v>40</v>
      </c>
      <c r="N45" s="20" t="n">
        <v>100</v>
      </c>
      <c r="O45" s="20" t="n">
        <v>59</v>
      </c>
      <c r="P45" s="11" t="n">
        <v>600</v>
      </c>
      <c r="Q45" s="11" t="n">
        <f aca="false">E45+G45+I45+K45+M45+O45</f>
        <v>420</v>
      </c>
      <c r="R45" s="12" t="n">
        <f aca="false">ROUND(Q45/P45*100,2)</f>
        <v>70</v>
      </c>
      <c r="S45" s="13" t="str">
        <f aca="false">IF(R45&gt;=90,"A+",IF(R45&gt;=80,"A",IF(R45&gt;=70,"B+",IF(R45&gt;=60,"B",IF(R45&gt;=45,"C",IF(R45&gt;=33,"D","F"))))))</f>
        <v>B+</v>
      </c>
      <c r="T45" s="14" t="str">
        <f aca="false">IF(AND(E45&gt;=33,G45&gt;=33,I45&gt;=33,K45&gt;=33,M45&gt;=33,O45&gt;=33),"Pass","Fail")</f>
        <v>Pass</v>
      </c>
    </row>
    <row r="46" customFormat="false" ht="18" hidden="false" customHeight="true" outlineLevel="0" collapsed="false">
      <c r="A46" s="15" t="s">
        <v>62</v>
      </c>
      <c r="B46" s="16" t="s">
        <v>70</v>
      </c>
      <c r="C46" s="17" t="n">
        <v>8</v>
      </c>
      <c r="D46" s="7" t="n">
        <v>100</v>
      </c>
      <c r="E46" s="7" t="n">
        <v>49</v>
      </c>
      <c r="F46" s="8" t="n">
        <v>100</v>
      </c>
      <c r="G46" s="8" t="n">
        <v>92</v>
      </c>
      <c r="H46" s="9" t="n">
        <v>100</v>
      </c>
      <c r="I46" s="9" t="n">
        <v>86</v>
      </c>
      <c r="J46" s="18" t="n">
        <v>100</v>
      </c>
      <c r="K46" s="18" t="n">
        <v>62</v>
      </c>
      <c r="L46" s="19" t="n">
        <v>100</v>
      </c>
      <c r="M46" s="19" t="n">
        <v>42</v>
      </c>
      <c r="N46" s="20" t="n">
        <v>100</v>
      </c>
      <c r="O46" s="20" t="n">
        <v>78</v>
      </c>
      <c r="P46" s="11" t="n">
        <v>600</v>
      </c>
      <c r="Q46" s="11" t="n">
        <f aca="false">E46+G46+I46+K46+M46+O46</f>
        <v>409</v>
      </c>
      <c r="R46" s="12" t="n">
        <f aca="false">ROUND(Q46/P46*100,2)</f>
        <v>68.17</v>
      </c>
      <c r="S46" s="13" t="str">
        <f aca="false">IF(R46&gt;=90,"A+",IF(R46&gt;=80,"A",IF(R46&gt;=70,"B+",IF(R46&gt;=60,"B",IF(R46&gt;=45,"C",IF(R46&gt;=33,"D","F"))))))</f>
        <v>B</v>
      </c>
      <c r="T46" s="14" t="str">
        <f aca="false">IF(AND(E46&gt;=33,G46&gt;=33,I46&gt;=33,K46&gt;=33,M46&gt;=33,O46&gt;=33),"Pass","Fail")</f>
        <v>Pass</v>
      </c>
    </row>
    <row r="47" customFormat="false" ht="18" hidden="false" customHeight="true" outlineLevel="0" collapsed="false">
      <c r="A47" s="15" t="s">
        <v>62</v>
      </c>
      <c r="B47" s="16" t="s">
        <v>71</v>
      </c>
      <c r="C47" s="17" t="n">
        <v>9</v>
      </c>
      <c r="D47" s="7" t="n">
        <v>100</v>
      </c>
      <c r="E47" s="7" t="n">
        <v>67</v>
      </c>
      <c r="F47" s="8" t="n">
        <v>100</v>
      </c>
      <c r="G47" s="8" t="n">
        <v>87</v>
      </c>
      <c r="H47" s="9" t="n">
        <v>100</v>
      </c>
      <c r="I47" s="9" t="n">
        <v>37</v>
      </c>
      <c r="J47" s="18" t="n">
        <v>100</v>
      </c>
      <c r="K47" s="18" t="n">
        <v>49</v>
      </c>
      <c r="L47" s="19" t="n">
        <v>100</v>
      </c>
      <c r="M47" s="19" t="n">
        <v>65</v>
      </c>
      <c r="N47" s="20" t="n">
        <v>100</v>
      </c>
      <c r="O47" s="20" t="n">
        <v>88</v>
      </c>
      <c r="P47" s="11" t="n">
        <v>600</v>
      </c>
      <c r="Q47" s="11" t="n">
        <f aca="false">E47+G47+I47+K47+M47+O47</f>
        <v>393</v>
      </c>
      <c r="R47" s="12" t="n">
        <f aca="false">ROUND(Q47/P47*100,2)</f>
        <v>65.5</v>
      </c>
      <c r="S47" s="13" t="str">
        <f aca="false">IF(R47&gt;=90,"A+",IF(R47&gt;=80,"A",IF(R47&gt;=70,"B+",IF(R47&gt;=60,"B",IF(R47&gt;=45,"C",IF(R47&gt;=33,"D","F"))))))</f>
        <v>B</v>
      </c>
      <c r="T47" s="14" t="str">
        <f aca="false">IF(AND(E47&gt;=33,G47&gt;=33,I47&gt;=33,K47&gt;=33,M47&gt;=33,O47&gt;=33),"Pass","Fail")</f>
        <v>Pass</v>
      </c>
    </row>
    <row r="48" customFormat="false" ht="18" hidden="false" customHeight="true" outlineLevel="0" collapsed="false">
      <c r="A48" s="15" t="s">
        <v>62</v>
      </c>
      <c r="B48" s="16" t="s">
        <v>72</v>
      </c>
      <c r="C48" s="17" t="n">
        <v>10</v>
      </c>
      <c r="D48" s="7" t="n">
        <v>100</v>
      </c>
      <c r="E48" s="7" t="n">
        <v>87</v>
      </c>
      <c r="F48" s="8" t="n">
        <v>100</v>
      </c>
      <c r="G48" s="8" t="n">
        <v>73</v>
      </c>
      <c r="H48" s="9" t="n">
        <v>100</v>
      </c>
      <c r="I48" s="9" t="n">
        <v>35</v>
      </c>
      <c r="J48" s="18" t="n">
        <v>100</v>
      </c>
      <c r="K48" s="18" t="n">
        <v>57</v>
      </c>
      <c r="L48" s="19" t="n">
        <v>100</v>
      </c>
      <c r="M48" s="19" t="n">
        <v>76</v>
      </c>
      <c r="N48" s="20" t="n">
        <v>100</v>
      </c>
      <c r="O48" s="20" t="n">
        <v>50</v>
      </c>
      <c r="P48" s="11" t="n">
        <v>600</v>
      </c>
      <c r="Q48" s="11" t="n">
        <f aca="false">E48+G48+I48+K48+M48+O48</f>
        <v>378</v>
      </c>
      <c r="R48" s="12" t="n">
        <f aca="false">ROUND(Q48/P48*100,2)</f>
        <v>63</v>
      </c>
      <c r="S48" s="13" t="str">
        <f aca="false">IF(R48&gt;=90,"A+",IF(R48&gt;=80,"A",IF(R48&gt;=70,"B+",IF(R48&gt;=60,"B",IF(R48&gt;=45,"C",IF(R48&gt;=33,"D","F"))))))</f>
        <v>B</v>
      </c>
      <c r="T48" s="14" t="str">
        <f aca="false">IF(AND(E48&gt;=33,G48&gt;=33,I48&gt;=33,K48&gt;=33,M48&gt;=33,O48&gt;=33),"Pass","Fail")</f>
        <v>Pass</v>
      </c>
    </row>
    <row r="49" customFormat="false" ht="18" hidden="false" customHeight="true" outlineLevel="0" collapsed="false">
      <c r="A49" s="15" t="s">
        <v>73</v>
      </c>
      <c r="B49" s="16" t="s">
        <v>74</v>
      </c>
      <c r="C49" s="17" t="n">
        <v>1</v>
      </c>
      <c r="D49" s="7" t="n">
        <v>100</v>
      </c>
      <c r="E49" s="7" t="n">
        <v>32</v>
      </c>
      <c r="F49" s="8" t="n">
        <v>100</v>
      </c>
      <c r="G49" s="8" t="n">
        <v>50</v>
      </c>
      <c r="H49" s="9" t="n">
        <v>100</v>
      </c>
      <c r="I49" s="9" t="n">
        <v>97</v>
      </c>
      <c r="J49" s="18" t="n">
        <v>100</v>
      </c>
      <c r="K49" s="18" t="n">
        <v>55</v>
      </c>
      <c r="L49" s="19" t="n">
        <v>100</v>
      </c>
      <c r="M49" s="19" t="n">
        <v>77</v>
      </c>
      <c r="N49" s="20" t="n">
        <v>100</v>
      </c>
      <c r="O49" s="20" t="n">
        <v>75</v>
      </c>
      <c r="P49" s="11" t="n">
        <v>600</v>
      </c>
      <c r="Q49" s="11" t="n">
        <f aca="false">E49+G49+I49+K49+M49+O49</f>
        <v>386</v>
      </c>
      <c r="R49" s="12" t="n">
        <f aca="false">ROUND(Q49/P49*100,2)</f>
        <v>64.33</v>
      </c>
      <c r="S49" s="13" t="str">
        <f aca="false">IF(R49&gt;=90,"A+",IF(R49&gt;=80,"A",IF(R49&gt;=70,"B+",IF(R49&gt;=60,"B",IF(R49&gt;=45,"C",IF(R49&gt;=33,"D","F"))))))</f>
        <v>B</v>
      </c>
      <c r="T49" s="14" t="str">
        <f aca="false">IF(AND(E49&gt;=33,G49&gt;=33,I49&gt;=33,K49&gt;=33,M49&gt;=33,O49&gt;=33),"Pass","Fail")</f>
        <v>Fail</v>
      </c>
    </row>
    <row r="50" customFormat="false" ht="18" hidden="false" customHeight="true" outlineLevel="0" collapsed="false">
      <c r="A50" s="15" t="s">
        <v>73</v>
      </c>
      <c r="B50" s="16" t="s">
        <v>75</v>
      </c>
      <c r="C50" s="17" t="n">
        <v>2</v>
      </c>
      <c r="D50" s="7" t="n">
        <v>100</v>
      </c>
      <c r="E50" s="7" t="n">
        <v>86</v>
      </c>
      <c r="F50" s="8" t="n">
        <v>100</v>
      </c>
      <c r="G50" s="8" t="n">
        <v>62</v>
      </c>
      <c r="H50" s="9" t="n">
        <v>100</v>
      </c>
      <c r="I50" s="9" t="n">
        <v>85</v>
      </c>
      <c r="J50" s="18" t="n">
        <v>100</v>
      </c>
      <c r="K50" s="18" t="n">
        <v>30</v>
      </c>
      <c r="L50" s="19" t="n">
        <v>100</v>
      </c>
      <c r="M50" s="19" t="n">
        <v>56</v>
      </c>
      <c r="N50" s="20" t="n">
        <v>100</v>
      </c>
      <c r="O50" s="20" t="n">
        <v>64</v>
      </c>
      <c r="P50" s="11" t="n">
        <v>600</v>
      </c>
      <c r="Q50" s="11" t="n">
        <f aca="false">E50+G50+I50+K50+M50+O50</f>
        <v>383</v>
      </c>
      <c r="R50" s="12" t="n">
        <f aca="false">ROUND(Q50/P50*100,2)</f>
        <v>63.83</v>
      </c>
      <c r="S50" s="13" t="str">
        <f aca="false">IF(R50&gt;=90,"A+",IF(R50&gt;=80,"A",IF(R50&gt;=70,"B+",IF(R50&gt;=60,"B",IF(R50&gt;=45,"C",IF(R50&gt;=33,"D","F"))))))</f>
        <v>B</v>
      </c>
      <c r="T50" s="14" t="str">
        <f aca="false">IF(AND(E50&gt;=33,G50&gt;=33,I50&gt;=33,K50&gt;=33,M50&gt;=33,O50&gt;=33),"Pass","Fail")</f>
        <v>Fail</v>
      </c>
    </row>
    <row r="51" customFormat="false" ht="18" hidden="false" customHeight="true" outlineLevel="0" collapsed="false">
      <c r="A51" s="15" t="s">
        <v>73</v>
      </c>
      <c r="B51" s="16" t="s">
        <v>76</v>
      </c>
      <c r="C51" s="17" t="n">
        <v>3</v>
      </c>
      <c r="D51" s="7" t="n">
        <v>100</v>
      </c>
      <c r="E51" s="7" t="n">
        <v>47</v>
      </c>
      <c r="F51" s="8" t="n">
        <v>100</v>
      </c>
      <c r="G51" s="8" t="n">
        <v>92</v>
      </c>
      <c r="H51" s="9" t="n">
        <v>100</v>
      </c>
      <c r="I51" s="9" t="n">
        <v>51</v>
      </c>
      <c r="J51" s="18" t="n">
        <v>100</v>
      </c>
      <c r="K51" s="18" t="n">
        <v>85</v>
      </c>
      <c r="L51" s="19" t="n">
        <v>100</v>
      </c>
      <c r="M51" s="19" t="n">
        <v>39</v>
      </c>
      <c r="N51" s="20" t="n">
        <v>100</v>
      </c>
      <c r="O51" s="20" t="n">
        <v>51</v>
      </c>
      <c r="P51" s="11" t="n">
        <v>600</v>
      </c>
      <c r="Q51" s="11" t="n">
        <f aca="false">E51+G51+I51+K51+M51+O51</f>
        <v>365</v>
      </c>
      <c r="R51" s="12" t="n">
        <f aca="false">ROUND(Q51/P51*100,2)</f>
        <v>60.83</v>
      </c>
      <c r="S51" s="13" t="str">
        <f aca="false">IF(R51&gt;=90,"A+",IF(R51&gt;=80,"A",IF(R51&gt;=70,"B+",IF(R51&gt;=60,"B",IF(R51&gt;=45,"C",IF(R51&gt;=33,"D","F"))))))</f>
        <v>B</v>
      </c>
      <c r="T51" s="14" t="str">
        <f aca="false">IF(AND(E51&gt;=33,G51&gt;=33,I51&gt;=33,K51&gt;=33,M51&gt;=33,O51&gt;=33),"Pass","Fail")</f>
        <v>Pass</v>
      </c>
    </row>
    <row r="52" customFormat="false" ht="18" hidden="false" customHeight="true" outlineLevel="0" collapsed="false">
      <c r="A52" s="15" t="s">
        <v>73</v>
      </c>
      <c r="B52" s="16" t="s">
        <v>77</v>
      </c>
      <c r="C52" s="17" t="n">
        <v>4</v>
      </c>
      <c r="D52" s="7" t="n">
        <v>100</v>
      </c>
      <c r="E52" s="7" t="n">
        <v>56</v>
      </c>
      <c r="F52" s="8" t="n">
        <v>100</v>
      </c>
      <c r="G52" s="8" t="n">
        <v>62</v>
      </c>
      <c r="H52" s="9" t="n">
        <v>100</v>
      </c>
      <c r="I52" s="9" t="n">
        <v>63</v>
      </c>
      <c r="J52" s="18" t="n">
        <v>100</v>
      </c>
      <c r="K52" s="18" t="n">
        <v>89</v>
      </c>
      <c r="L52" s="19" t="n">
        <v>100</v>
      </c>
      <c r="M52" s="19" t="n">
        <v>98</v>
      </c>
      <c r="N52" s="20" t="n">
        <v>100</v>
      </c>
      <c r="O52" s="20" t="n">
        <v>61</v>
      </c>
      <c r="P52" s="11" t="n">
        <v>600</v>
      </c>
      <c r="Q52" s="11" t="n">
        <f aca="false">E52+G52+I52+K52+M52+O52</f>
        <v>429</v>
      </c>
      <c r="R52" s="12" t="n">
        <f aca="false">ROUND(Q52/P52*100,2)</f>
        <v>71.5</v>
      </c>
      <c r="S52" s="13" t="str">
        <f aca="false">IF(R52&gt;=90,"A+",IF(R52&gt;=80,"A",IF(R52&gt;=70,"B+",IF(R52&gt;=60,"B",IF(R52&gt;=45,"C",IF(R52&gt;=33,"D","F"))))))</f>
        <v>B+</v>
      </c>
      <c r="T52" s="14" t="str">
        <f aca="false">IF(AND(E52&gt;=33,G52&gt;=33,I52&gt;=33,K52&gt;=33,M52&gt;=33,O52&gt;=33),"Pass","Fail")</f>
        <v>Pass</v>
      </c>
    </row>
    <row r="53" customFormat="false" ht="18" hidden="false" customHeight="true" outlineLevel="0" collapsed="false">
      <c r="A53" s="15" t="s">
        <v>73</v>
      </c>
      <c r="B53" s="16" t="s">
        <v>78</v>
      </c>
      <c r="C53" s="17" t="n">
        <v>5</v>
      </c>
      <c r="D53" s="7" t="n">
        <v>100</v>
      </c>
      <c r="E53" s="7" t="n">
        <v>65</v>
      </c>
      <c r="F53" s="8" t="n">
        <v>100</v>
      </c>
      <c r="G53" s="8" t="n">
        <v>46</v>
      </c>
      <c r="H53" s="9" t="n">
        <v>100</v>
      </c>
      <c r="I53" s="9" t="n">
        <v>59</v>
      </c>
      <c r="J53" s="18" t="n">
        <v>100</v>
      </c>
      <c r="K53" s="18" t="n">
        <v>77</v>
      </c>
      <c r="L53" s="19" t="n">
        <v>100</v>
      </c>
      <c r="M53" s="19" t="n">
        <v>50</v>
      </c>
      <c r="N53" s="20" t="n">
        <v>100</v>
      </c>
      <c r="O53" s="20" t="n">
        <v>89</v>
      </c>
      <c r="P53" s="11" t="n">
        <v>600</v>
      </c>
      <c r="Q53" s="11" t="n">
        <f aca="false">E53+G53+I53+K53+M53+O53</f>
        <v>386</v>
      </c>
      <c r="R53" s="12" t="n">
        <f aca="false">ROUND(Q53/P53*100,2)</f>
        <v>64.33</v>
      </c>
      <c r="S53" s="13" t="str">
        <f aca="false">IF(R53&gt;=90,"A+",IF(R53&gt;=80,"A",IF(R53&gt;=70,"B+",IF(R53&gt;=60,"B",IF(R53&gt;=45,"C",IF(R53&gt;=33,"D","F"))))))</f>
        <v>B</v>
      </c>
      <c r="T53" s="14" t="str">
        <f aca="false">IF(AND(E53&gt;=33,G53&gt;=33,I53&gt;=33,K53&gt;=33,M53&gt;=33,O53&gt;=33),"Pass","Fail")</f>
        <v>Pass</v>
      </c>
    </row>
    <row r="54" customFormat="false" ht="18" hidden="false" customHeight="true" outlineLevel="0" collapsed="false">
      <c r="A54" s="15" t="s">
        <v>73</v>
      </c>
      <c r="B54" s="16" t="s">
        <v>79</v>
      </c>
      <c r="C54" s="17" t="n">
        <v>6</v>
      </c>
      <c r="D54" s="7" t="n">
        <v>100</v>
      </c>
      <c r="E54" s="7" t="n">
        <v>96</v>
      </c>
      <c r="F54" s="8" t="n">
        <v>100</v>
      </c>
      <c r="G54" s="8" t="n">
        <v>93</v>
      </c>
      <c r="H54" s="9" t="n">
        <v>100</v>
      </c>
      <c r="I54" s="9" t="n">
        <v>76</v>
      </c>
      <c r="J54" s="18" t="n">
        <v>100</v>
      </c>
      <c r="K54" s="18" t="n">
        <v>35</v>
      </c>
      <c r="L54" s="19" t="n">
        <v>100</v>
      </c>
      <c r="M54" s="19" t="n">
        <v>78</v>
      </c>
      <c r="N54" s="20" t="n">
        <v>100</v>
      </c>
      <c r="O54" s="20" t="n">
        <v>64</v>
      </c>
      <c r="P54" s="11" t="n">
        <v>600</v>
      </c>
      <c r="Q54" s="11" t="n">
        <f aca="false">E54+G54+I54+K54+M54+O54</f>
        <v>442</v>
      </c>
      <c r="R54" s="12" t="n">
        <f aca="false">ROUND(Q54/P54*100,2)</f>
        <v>73.67</v>
      </c>
      <c r="S54" s="13" t="str">
        <f aca="false">IF(R54&gt;=90,"A+",IF(R54&gt;=80,"A",IF(R54&gt;=70,"B+",IF(R54&gt;=60,"B",IF(R54&gt;=45,"C",IF(R54&gt;=33,"D","F"))))))</f>
        <v>B+</v>
      </c>
      <c r="T54" s="14" t="str">
        <f aca="false">IF(AND(E54&gt;=33,G54&gt;=33,I54&gt;=33,K54&gt;=33,M54&gt;=33,O54&gt;=33),"Pass","Fail")</f>
        <v>Pass</v>
      </c>
    </row>
    <row r="55" customFormat="false" ht="18" hidden="false" customHeight="true" outlineLevel="0" collapsed="false">
      <c r="A55" s="15" t="s">
        <v>73</v>
      </c>
      <c r="B55" s="16" t="s">
        <v>80</v>
      </c>
      <c r="C55" s="17" t="n">
        <v>7</v>
      </c>
      <c r="D55" s="7" t="n">
        <v>100</v>
      </c>
      <c r="E55" s="7" t="n">
        <v>87</v>
      </c>
      <c r="F55" s="8" t="n">
        <v>100</v>
      </c>
      <c r="G55" s="8" t="n">
        <v>32</v>
      </c>
      <c r="H55" s="9" t="n">
        <v>100</v>
      </c>
      <c r="I55" s="9" t="n">
        <v>36</v>
      </c>
      <c r="J55" s="18" t="n">
        <v>100</v>
      </c>
      <c r="K55" s="18" t="n">
        <v>47</v>
      </c>
      <c r="L55" s="19" t="n">
        <v>100</v>
      </c>
      <c r="M55" s="19" t="n">
        <v>58</v>
      </c>
      <c r="N55" s="20" t="n">
        <v>100</v>
      </c>
      <c r="O55" s="20" t="n">
        <v>71</v>
      </c>
      <c r="P55" s="11" t="n">
        <v>600</v>
      </c>
      <c r="Q55" s="11" t="n">
        <f aca="false">E55+G55+I55+K55+M55+O55</f>
        <v>331</v>
      </c>
      <c r="R55" s="12" t="n">
        <f aca="false">ROUND(Q55/P55*100,2)</f>
        <v>55.17</v>
      </c>
      <c r="S55" s="13" t="str">
        <f aca="false">IF(R55&gt;=90,"A+",IF(R55&gt;=80,"A",IF(R55&gt;=70,"B+",IF(R55&gt;=60,"B",IF(R55&gt;=45,"C",IF(R55&gt;=33,"D","F"))))))</f>
        <v>C</v>
      </c>
      <c r="T55" s="14" t="str">
        <f aca="false">IF(AND(E55&gt;=33,G55&gt;=33,I55&gt;=33,K55&gt;=33,M55&gt;=33,O55&gt;=33),"Pass","Fail")</f>
        <v>Fail</v>
      </c>
    </row>
    <row r="56" customFormat="false" ht="18" hidden="false" customHeight="true" outlineLevel="0" collapsed="false">
      <c r="A56" s="15" t="s">
        <v>73</v>
      </c>
      <c r="B56" s="16" t="s">
        <v>81</v>
      </c>
      <c r="C56" s="17" t="n">
        <v>8</v>
      </c>
      <c r="D56" s="7" t="n">
        <v>100</v>
      </c>
      <c r="E56" s="7" t="n">
        <v>44</v>
      </c>
      <c r="F56" s="8" t="n">
        <v>100</v>
      </c>
      <c r="G56" s="8" t="n">
        <v>57</v>
      </c>
      <c r="H56" s="9" t="n">
        <v>100</v>
      </c>
      <c r="I56" s="9" t="n">
        <v>86</v>
      </c>
      <c r="J56" s="18" t="n">
        <v>100</v>
      </c>
      <c r="K56" s="18" t="n">
        <v>94</v>
      </c>
      <c r="L56" s="19" t="n">
        <v>100</v>
      </c>
      <c r="M56" s="19" t="n">
        <v>37</v>
      </c>
      <c r="N56" s="20" t="n">
        <v>100</v>
      </c>
      <c r="O56" s="20" t="n">
        <v>59</v>
      </c>
      <c r="P56" s="11" t="n">
        <v>600</v>
      </c>
      <c r="Q56" s="11" t="n">
        <f aca="false">E56+G56+I56+K56+M56+O56</f>
        <v>377</v>
      </c>
      <c r="R56" s="12" t="n">
        <f aca="false">ROUND(Q56/P56*100,2)</f>
        <v>62.83</v>
      </c>
      <c r="S56" s="13" t="str">
        <f aca="false">IF(R56&gt;=90,"A+",IF(R56&gt;=80,"A",IF(R56&gt;=70,"B+",IF(R56&gt;=60,"B",IF(R56&gt;=45,"C",IF(R56&gt;=33,"D","F"))))))</f>
        <v>B</v>
      </c>
      <c r="T56" s="14" t="str">
        <f aca="false">IF(AND(E56&gt;=33,G56&gt;=33,I56&gt;=33,K56&gt;=33,M56&gt;=33,O56&gt;=33),"Pass","Fail")</f>
        <v>Pass</v>
      </c>
    </row>
    <row r="57" customFormat="false" ht="18" hidden="false" customHeight="true" outlineLevel="0" collapsed="false">
      <c r="A57" s="15" t="s">
        <v>73</v>
      </c>
      <c r="B57" s="16" t="s">
        <v>82</v>
      </c>
      <c r="C57" s="17" t="n">
        <v>9</v>
      </c>
      <c r="D57" s="7" t="n">
        <v>100</v>
      </c>
      <c r="E57" s="7" t="n">
        <v>36</v>
      </c>
      <c r="F57" s="8" t="n">
        <v>100</v>
      </c>
      <c r="G57" s="8" t="n">
        <v>92</v>
      </c>
      <c r="H57" s="9" t="n">
        <v>100</v>
      </c>
      <c r="I57" s="9" t="n">
        <v>52</v>
      </c>
      <c r="J57" s="18" t="n">
        <v>100</v>
      </c>
      <c r="K57" s="18" t="n">
        <v>33</v>
      </c>
      <c r="L57" s="19" t="n">
        <v>100</v>
      </c>
      <c r="M57" s="19" t="n">
        <v>34</v>
      </c>
      <c r="N57" s="20" t="n">
        <v>100</v>
      </c>
      <c r="O57" s="20" t="n">
        <v>70</v>
      </c>
      <c r="P57" s="11" t="n">
        <v>600</v>
      </c>
      <c r="Q57" s="11" t="n">
        <f aca="false">E57+G57+I57+K57+M57+O57</f>
        <v>317</v>
      </c>
      <c r="R57" s="12" t="n">
        <f aca="false">ROUND(Q57/P57*100,2)</f>
        <v>52.83</v>
      </c>
      <c r="S57" s="13" t="str">
        <f aca="false">IF(R57&gt;=90,"A+",IF(R57&gt;=80,"A",IF(R57&gt;=70,"B+",IF(R57&gt;=60,"B",IF(R57&gt;=45,"C",IF(R57&gt;=33,"D","F"))))))</f>
        <v>C</v>
      </c>
      <c r="T57" s="14" t="str">
        <f aca="false">IF(AND(E57&gt;=33,G57&gt;=33,I57&gt;=33,K57&gt;=33,M57&gt;=33,O57&gt;=33),"Pass","Fail")</f>
        <v>Pass</v>
      </c>
    </row>
    <row r="58" customFormat="false" ht="18" hidden="false" customHeight="true" outlineLevel="0" collapsed="false">
      <c r="A58" s="15" t="s">
        <v>73</v>
      </c>
      <c r="B58" s="16" t="s">
        <v>83</v>
      </c>
      <c r="C58" s="17" t="n">
        <v>10</v>
      </c>
      <c r="D58" s="7" t="n">
        <v>100</v>
      </c>
      <c r="E58" s="7" t="n">
        <v>60</v>
      </c>
      <c r="F58" s="8" t="n">
        <v>100</v>
      </c>
      <c r="G58" s="8" t="n">
        <v>87</v>
      </c>
      <c r="H58" s="9" t="n">
        <v>100</v>
      </c>
      <c r="I58" s="9" t="n">
        <v>87</v>
      </c>
      <c r="J58" s="18" t="n">
        <v>100</v>
      </c>
      <c r="K58" s="18" t="n">
        <v>35</v>
      </c>
      <c r="L58" s="19" t="n">
        <v>100</v>
      </c>
      <c r="M58" s="19" t="n">
        <v>81</v>
      </c>
      <c r="N58" s="20" t="n">
        <v>100</v>
      </c>
      <c r="O58" s="20" t="n">
        <v>64</v>
      </c>
      <c r="P58" s="11" t="n">
        <v>600</v>
      </c>
      <c r="Q58" s="11" t="n">
        <f aca="false">E58+G58+I58+K58+M58+O58</f>
        <v>414</v>
      </c>
      <c r="R58" s="12" t="n">
        <f aca="false">ROUND(Q58/P58*100,2)</f>
        <v>69</v>
      </c>
      <c r="S58" s="13" t="str">
        <f aca="false">IF(R58&gt;=90,"A+",IF(R58&gt;=80,"A",IF(R58&gt;=70,"B+",IF(R58&gt;=60,"B",IF(R58&gt;=45,"C",IF(R58&gt;=33,"D","F"))))))</f>
        <v>B</v>
      </c>
      <c r="T58" s="14" t="str">
        <f aca="false">IF(AND(E58&gt;=33,G58&gt;=33,I58&gt;=33,K58&gt;=33,M58&gt;=33,O58&gt;=33),"Pass","Fail")</f>
        <v>Pass</v>
      </c>
    </row>
    <row r="59" customFormat="false" ht="18" hidden="false" customHeight="true" outlineLevel="0" collapsed="false">
      <c r="A59" s="15" t="s">
        <v>73</v>
      </c>
      <c r="B59" s="16" t="s">
        <v>84</v>
      </c>
      <c r="C59" s="17" t="n">
        <v>11</v>
      </c>
      <c r="D59" s="7" t="n">
        <v>100</v>
      </c>
      <c r="E59" s="7" t="n">
        <v>77</v>
      </c>
      <c r="F59" s="8" t="n">
        <v>100</v>
      </c>
      <c r="G59" s="8" t="n">
        <v>45</v>
      </c>
      <c r="H59" s="9" t="n">
        <v>100</v>
      </c>
      <c r="I59" s="9" t="n">
        <v>97</v>
      </c>
      <c r="J59" s="18" t="n">
        <v>100</v>
      </c>
      <c r="K59" s="18" t="n">
        <v>79</v>
      </c>
      <c r="L59" s="19" t="n">
        <v>100</v>
      </c>
      <c r="M59" s="19" t="n">
        <v>38</v>
      </c>
      <c r="N59" s="20" t="n">
        <v>100</v>
      </c>
      <c r="O59" s="20" t="n">
        <v>57</v>
      </c>
      <c r="P59" s="11" t="n">
        <v>600</v>
      </c>
      <c r="Q59" s="11" t="n">
        <f aca="false">E59+G59+I59+K59+M59+O59</f>
        <v>393</v>
      </c>
      <c r="R59" s="12" t="n">
        <f aca="false">ROUND(Q59/P59*100,2)</f>
        <v>65.5</v>
      </c>
      <c r="S59" s="13" t="str">
        <f aca="false">IF(R59&gt;=90,"A+",IF(R59&gt;=80,"A",IF(R59&gt;=70,"B+",IF(R59&gt;=60,"B",IF(R59&gt;=45,"C",IF(R59&gt;=33,"D","F"))))))</f>
        <v>B</v>
      </c>
      <c r="T59" s="14" t="str">
        <f aca="false">IF(AND(E59&gt;=33,G59&gt;=33,I59&gt;=33,K59&gt;=33,M59&gt;=33,O59&gt;=33),"Pass","Fail")</f>
        <v>Pass</v>
      </c>
    </row>
    <row r="60" customFormat="false" ht="18" hidden="false" customHeight="true" outlineLevel="0" collapsed="false">
      <c r="A60" s="15" t="s">
        <v>73</v>
      </c>
      <c r="B60" s="16" t="s">
        <v>85</v>
      </c>
      <c r="C60" s="17" t="n">
        <v>12</v>
      </c>
      <c r="D60" s="7" t="n">
        <v>100</v>
      </c>
      <c r="E60" s="7" t="n">
        <v>78</v>
      </c>
      <c r="F60" s="8" t="n">
        <v>100</v>
      </c>
      <c r="G60" s="8" t="n">
        <v>34</v>
      </c>
      <c r="H60" s="9" t="n">
        <v>100</v>
      </c>
      <c r="I60" s="9" t="n">
        <v>99</v>
      </c>
      <c r="J60" s="18" t="n">
        <v>100</v>
      </c>
      <c r="K60" s="18" t="n">
        <v>44</v>
      </c>
      <c r="L60" s="19" t="n">
        <v>100</v>
      </c>
      <c r="M60" s="19" t="n">
        <v>70</v>
      </c>
      <c r="N60" s="20" t="n">
        <v>100</v>
      </c>
      <c r="O60" s="20" t="n">
        <v>57</v>
      </c>
      <c r="P60" s="11" t="n">
        <v>600</v>
      </c>
      <c r="Q60" s="11" t="n">
        <f aca="false">E60+G60+I60+K60+M60+O60</f>
        <v>382</v>
      </c>
      <c r="R60" s="12" t="n">
        <f aca="false">ROUND(Q60/P60*100,2)</f>
        <v>63.67</v>
      </c>
      <c r="S60" s="13" t="str">
        <f aca="false">IF(R60&gt;=90,"A+",IF(R60&gt;=80,"A",IF(R60&gt;=70,"B+",IF(R60&gt;=60,"B",IF(R60&gt;=45,"C",IF(R60&gt;=33,"D","F"))))))</f>
        <v>B</v>
      </c>
      <c r="T60" s="14" t="str">
        <f aca="false">IF(AND(E60&gt;=33,G60&gt;=33,I60&gt;=33,K60&gt;=33,M60&gt;=33,O60&gt;=33),"Pass","Fail")</f>
        <v>Pass</v>
      </c>
    </row>
    <row r="61" customFormat="false" ht="18" hidden="false" customHeight="true" outlineLevel="0" collapsed="false">
      <c r="A61" s="15" t="s">
        <v>73</v>
      </c>
      <c r="B61" s="16" t="s">
        <v>86</v>
      </c>
      <c r="C61" s="17" t="n">
        <v>13</v>
      </c>
      <c r="D61" s="7" t="n">
        <v>100</v>
      </c>
      <c r="E61" s="7" t="n">
        <v>44</v>
      </c>
      <c r="F61" s="8" t="n">
        <v>100</v>
      </c>
      <c r="G61" s="8" t="n">
        <v>62</v>
      </c>
      <c r="H61" s="9" t="n">
        <v>100</v>
      </c>
      <c r="I61" s="9" t="n">
        <v>45</v>
      </c>
      <c r="J61" s="18" t="n">
        <v>100</v>
      </c>
      <c r="K61" s="18" t="n">
        <v>32</v>
      </c>
      <c r="L61" s="19" t="n">
        <v>100</v>
      </c>
      <c r="M61" s="19" t="n">
        <v>93</v>
      </c>
      <c r="N61" s="20" t="n">
        <v>100</v>
      </c>
      <c r="O61" s="20" t="n">
        <v>80</v>
      </c>
      <c r="P61" s="11" t="n">
        <v>600</v>
      </c>
      <c r="Q61" s="11" t="n">
        <f aca="false">E61+G61+I61+K61+M61+O61</f>
        <v>356</v>
      </c>
      <c r="R61" s="12" t="n">
        <f aca="false">ROUND(Q61/P61*100,2)</f>
        <v>59.33</v>
      </c>
      <c r="S61" s="13" t="str">
        <f aca="false">IF(R61&gt;=90,"A+",IF(R61&gt;=80,"A",IF(R61&gt;=70,"B+",IF(R61&gt;=60,"B",IF(R61&gt;=45,"C",IF(R61&gt;=33,"D","F"))))))</f>
        <v>C</v>
      </c>
      <c r="T61" s="14" t="str">
        <f aca="false">IF(AND(E61&gt;=33,G61&gt;=33,I61&gt;=33,K61&gt;=33,M61&gt;=33,O61&gt;=33),"Pass","Fail")</f>
        <v>Fail</v>
      </c>
    </row>
    <row r="62" customFormat="false" ht="18" hidden="false" customHeight="true" outlineLevel="0" collapsed="false">
      <c r="A62" s="15" t="s">
        <v>73</v>
      </c>
      <c r="B62" s="16" t="s">
        <v>87</v>
      </c>
      <c r="C62" s="17" t="n">
        <v>14</v>
      </c>
      <c r="D62" s="7" t="n">
        <v>100</v>
      </c>
      <c r="E62" s="7" t="n">
        <v>66</v>
      </c>
      <c r="F62" s="8" t="n">
        <v>100</v>
      </c>
      <c r="G62" s="8" t="n">
        <v>36</v>
      </c>
      <c r="H62" s="9" t="n">
        <v>100</v>
      </c>
      <c r="I62" s="9" t="n">
        <v>72</v>
      </c>
      <c r="J62" s="18" t="n">
        <v>100</v>
      </c>
      <c r="K62" s="18" t="n">
        <v>74</v>
      </c>
      <c r="L62" s="19" t="n">
        <v>100</v>
      </c>
      <c r="M62" s="19" t="n">
        <v>88</v>
      </c>
      <c r="N62" s="20" t="n">
        <v>100</v>
      </c>
      <c r="O62" s="20" t="n">
        <v>48</v>
      </c>
      <c r="P62" s="11" t="n">
        <v>600</v>
      </c>
      <c r="Q62" s="11" t="n">
        <f aca="false">E62+G62+I62+K62+M62+O62</f>
        <v>384</v>
      </c>
      <c r="R62" s="12" t="n">
        <f aca="false">ROUND(Q62/P62*100,2)</f>
        <v>64</v>
      </c>
      <c r="S62" s="13" t="str">
        <f aca="false">IF(R62&gt;=90,"A+",IF(R62&gt;=80,"A",IF(R62&gt;=70,"B+",IF(R62&gt;=60,"B",IF(R62&gt;=45,"C",IF(R62&gt;=33,"D","F"))))))</f>
        <v>B</v>
      </c>
      <c r="T62" s="14" t="str">
        <f aca="false">IF(AND(E62&gt;=33,G62&gt;=33,I62&gt;=33,K62&gt;=33,M62&gt;=33,O62&gt;=33),"Pass","Fail")</f>
        <v>Pass</v>
      </c>
    </row>
    <row r="63" customFormat="false" ht="18" hidden="false" customHeight="true" outlineLevel="0" collapsed="false">
      <c r="A63" s="15" t="s">
        <v>73</v>
      </c>
      <c r="B63" s="16" t="s">
        <v>88</v>
      </c>
      <c r="C63" s="17" t="n">
        <v>15</v>
      </c>
      <c r="D63" s="7" t="n">
        <v>100</v>
      </c>
      <c r="E63" s="7" t="n">
        <v>86</v>
      </c>
      <c r="F63" s="8" t="n">
        <v>100</v>
      </c>
      <c r="G63" s="8" t="n">
        <v>47</v>
      </c>
      <c r="H63" s="9" t="n">
        <v>100</v>
      </c>
      <c r="I63" s="9" t="n">
        <v>73</v>
      </c>
      <c r="J63" s="18" t="n">
        <v>100</v>
      </c>
      <c r="K63" s="18" t="n">
        <v>85</v>
      </c>
      <c r="L63" s="19" t="n">
        <v>100</v>
      </c>
      <c r="M63" s="19" t="n">
        <v>63</v>
      </c>
      <c r="N63" s="20" t="n">
        <v>100</v>
      </c>
      <c r="O63" s="20" t="n">
        <v>47</v>
      </c>
      <c r="P63" s="11" t="n">
        <v>600</v>
      </c>
      <c r="Q63" s="11" t="n">
        <f aca="false">E63+G63+I63+K63+M63+O63</f>
        <v>401</v>
      </c>
      <c r="R63" s="12" t="n">
        <f aca="false">ROUND(Q63/P63*100,2)</f>
        <v>66.83</v>
      </c>
      <c r="S63" s="13" t="str">
        <f aca="false">IF(R63&gt;=90,"A+",IF(R63&gt;=80,"A",IF(R63&gt;=70,"B+",IF(R63&gt;=60,"B",IF(R63&gt;=45,"C",IF(R63&gt;=33,"D","F"))))))</f>
        <v>B</v>
      </c>
      <c r="T63" s="14" t="str">
        <f aca="false">IF(AND(E63&gt;=33,G63&gt;=33,I63&gt;=33,K63&gt;=33,M63&gt;=33,O63&gt;=33),"Pass","Fail")</f>
        <v>Pass</v>
      </c>
    </row>
    <row r="64" customFormat="false" ht="18" hidden="false" customHeight="true" outlineLevel="0" collapsed="false">
      <c r="A64" s="15" t="s">
        <v>89</v>
      </c>
      <c r="B64" s="16" t="s">
        <v>90</v>
      </c>
      <c r="C64" s="17" t="n">
        <v>1</v>
      </c>
      <c r="D64" s="7" t="n">
        <v>100</v>
      </c>
      <c r="E64" s="7" t="n">
        <v>61</v>
      </c>
      <c r="F64" s="8" t="n">
        <v>100</v>
      </c>
      <c r="G64" s="8" t="n">
        <v>48</v>
      </c>
      <c r="H64" s="9" t="n">
        <v>100</v>
      </c>
      <c r="I64" s="9" t="n">
        <v>68</v>
      </c>
      <c r="J64" s="18" t="n">
        <v>100</v>
      </c>
      <c r="K64" s="18" t="n">
        <v>45</v>
      </c>
      <c r="L64" s="19" t="n">
        <v>100</v>
      </c>
      <c r="M64" s="19" t="n">
        <v>61</v>
      </c>
      <c r="N64" s="20" t="n">
        <v>100</v>
      </c>
      <c r="O64" s="20" t="n">
        <v>98</v>
      </c>
      <c r="P64" s="11" t="n">
        <v>600</v>
      </c>
      <c r="Q64" s="11" t="n">
        <f aca="false">E64+G64+I64+K64+M64+O64</f>
        <v>381</v>
      </c>
      <c r="R64" s="12" t="n">
        <f aca="false">ROUND(Q64/P64*100,2)</f>
        <v>63.5</v>
      </c>
      <c r="S64" s="13" t="str">
        <f aca="false">IF(R64&gt;=90,"A+",IF(R64&gt;=80,"A",IF(R64&gt;=70,"B+",IF(R64&gt;=60,"B",IF(R64&gt;=45,"C",IF(R64&gt;=33,"D","F"))))))</f>
        <v>B</v>
      </c>
      <c r="T64" s="14" t="str">
        <f aca="false">IF(AND(E64&gt;=33,G64&gt;=33,I64&gt;=33,K64&gt;=33,M64&gt;=33,O64&gt;=33),"Pass","Fail")</f>
        <v>Pass</v>
      </c>
    </row>
    <row r="65" customFormat="false" ht="18" hidden="false" customHeight="true" outlineLevel="0" collapsed="false">
      <c r="A65" s="15" t="s">
        <v>89</v>
      </c>
      <c r="B65" s="16" t="s">
        <v>91</v>
      </c>
      <c r="C65" s="17" t="n">
        <v>2</v>
      </c>
      <c r="D65" s="7" t="n">
        <v>100</v>
      </c>
      <c r="E65" s="7" t="n">
        <v>68</v>
      </c>
      <c r="F65" s="8" t="n">
        <v>100</v>
      </c>
      <c r="G65" s="8" t="n">
        <v>44</v>
      </c>
      <c r="H65" s="9" t="n">
        <v>100</v>
      </c>
      <c r="I65" s="9" t="n">
        <v>86</v>
      </c>
      <c r="J65" s="18" t="n">
        <v>100</v>
      </c>
      <c r="K65" s="18" t="n">
        <v>39</v>
      </c>
      <c r="L65" s="19" t="n">
        <v>100</v>
      </c>
      <c r="M65" s="19" t="n">
        <v>63</v>
      </c>
      <c r="N65" s="20" t="n">
        <v>100</v>
      </c>
      <c r="O65" s="20" t="n">
        <v>84</v>
      </c>
      <c r="P65" s="11" t="n">
        <v>600</v>
      </c>
      <c r="Q65" s="11" t="n">
        <f aca="false">E65+G65+I65+K65+M65+O65</f>
        <v>384</v>
      </c>
      <c r="R65" s="12" t="n">
        <f aca="false">ROUND(Q65/P65*100,2)</f>
        <v>64</v>
      </c>
      <c r="S65" s="13" t="str">
        <f aca="false">IF(R65&gt;=90,"A+",IF(R65&gt;=80,"A",IF(R65&gt;=70,"B+",IF(R65&gt;=60,"B",IF(R65&gt;=45,"C",IF(R65&gt;=33,"D","F"))))))</f>
        <v>B</v>
      </c>
      <c r="T65" s="14" t="str">
        <f aca="false">IF(AND(E65&gt;=33,G65&gt;=33,I65&gt;=33,K65&gt;=33,M65&gt;=33,O65&gt;=33),"Pass","Fail")</f>
        <v>Pass</v>
      </c>
    </row>
    <row r="66" customFormat="false" ht="18" hidden="false" customHeight="true" outlineLevel="0" collapsed="false">
      <c r="A66" s="15" t="s">
        <v>89</v>
      </c>
      <c r="B66" s="16" t="s">
        <v>92</v>
      </c>
      <c r="C66" s="17" t="n">
        <v>3</v>
      </c>
      <c r="D66" s="7" t="n">
        <v>100</v>
      </c>
      <c r="E66" s="7" t="n">
        <v>44</v>
      </c>
      <c r="F66" s="8" t="n">
        <v>100</v>
      </c>
      <c r="G66" s="8" t="n">
        <v>62</v>
      </c>
      <c r="H66" s="9" t="n">
        <v>100</v>
      </c>
      <c r="I66" s="9" t="n">
        <v>70</v>
      </c>
      <c r="J66" s="18" t="n">
        <v>100</v>
      </c>
      <c r="K66" s="18" t="n">
        <v>61</v>
      </c>
      <c r="L66" s="19" t="n">
        <v>100</v>
      </c>
      <c r="M66" s="19" t="n">
        <v>81</v>
      </c>
      <c r="N66" s="20" t="n">
        <v>100</v>
      </c>
      <c r="O66" s="20" t="n">
        <v>76</v>
      </c>
      <c r="P66" s="11" t="n">
        <v>600</v>
      </c>
      <c r="Q66" s="11" t="n">
        <f aca="false">E66+G66+I66+K66+M66+O66</f>
        <v>394</v>
      </c>
      <c r="R66" s="12" t="n">
        <f aca="false">ROUND(Q66/P66*100,2)</f>
        <v>65.67</v>
      </c>
      <c r="S66" s="13" t="str">
        <f aca="false">IF(R66&gt;=90,"A+",IF(R66&gt;=80,"A",IF(R66&gt;=70,"B+",IF(R66&gt;=60,"B",IF(R66&gt;=45,"C",IF(R66&gt;=33,"D","F"))))))</f>
        <v>B</v>
      </c>
      <c r="T66" s="14" t="str">
        <f aca="false">IF(AND(E66&gt;=33,G66&gt;=33,I66&gt;=33,K66&gt;=33,M66&gt;=33,O66&gt;=33),"Pass","Fail")</f>
        <v>Pass</v>
      </c>
    </row>
    <row r="67" customFormat="false" ht="18" hidden="false" customHeight="true" outlineLevel="0" collapsed="false">
      <c r="A67" s="15" t="s">
        <v>89</v>
      </c>
      <c r="B67" s="16" t="s">
        <v>93</v>
      </c>
      <c r="C67" s="17" t="n">
        <v>4</v>
      </c>
      <c r="D67" s="7" t="n">
        <v>100</v>
      </c>
      <c r="E67" s="7" t="n">
        <v>87</v>
      </c>
      <c r="F67" s="8" t="n">
        <v>100</v>
      </c>
      <c r="G67" s="8" t="n">
        <v>55</v>
      </c>
      <c r="H67" s="9" t="n">
        <v>100</v>
      </c>
      <c r="I67" s="9" t="n">
        <v>90</v>
      </c>
      <c r="J67" s="18" t="n">
        <v>100</v>
      </c>
      <c r="K67" s="18" t="n">
        <v>33</v>
      </c>
      <c r="L67" s="19" t="n">
        <v>100</v>
      </c>
      <c r="M67" s="19" t="n">
        <v>58</v>
      </c>
      <c r="N67" s="20" t="n">
        <v>100</v>
      </c>
      <c r="O67" s="20" t="n">
        <v>47</v>
      </c>
      <c r="P67" s="11" t="n">
        <v>600</v>
      </c>
      <c r="Q67" s="11" t="n">
        <f aca="false">E67+G67+I67+K67+M67+O67</f>
        <v>370</v>
      </c>
      <c r="R67" s="12" t="n">
        <f aca="false">ROUND(Q67/P67*100,2)</f>
        <v>61.67</v>
      </c>
      <c r="S67" s="13" t="str">
        <f aca="false">IF(R67&gt;=90,"A+",IF(R67&gt;=80,"A",IF(R67&gt;=70,"B+",IF(R67&gt;=60,"B",IF(R67&gt;=45,"C",IF(R67&gt;=33,"D","F"))))))</f>
        <v>B</v>
      </c>
      <c r="T67" s="14" t="str">
        <f aca="false">IF(AND(E67&gt;=33,G67&gt;=33,I67&gt;=33,K67&gt;=33,M67&gt;=33,O67&gt;=33),"Pass","Fail")</f>
        <v>Pass</v>
      </c>
    </row>
    <row r="68" customFormat="false" ht="18" hidden="false" customHeight="true" outlineLevel="0" collapsed="false">
      <c r="A68" s="15" t="s">
        <v>89</v>
      </c>
      <c r="B68" s="16" t="s">
        <v>94</v>
      </c>
      <c r="C68" s="17" t="n">
        <v>5</v>
      </c>
      <c r="D68" s="7" t="n">
        <v>100</v>
      </c>
      <c r="E68" s="7" t="n">
        <v>33</v>
      </c>
      <c r="F68" s="8" t="n">
        <v>100</v>
      </c>
      <c r="G68" s="8" t="n">
        <v>88</v>
      </c>
      <c r="H68" s="9" t="n">
        <v>100</v>
      </c>
      <c r="I68" s="9" t="n">
        <v>59</v>
      </c>
      <c r="J68" s="18" t="n">
        <v>100</v>
      </c>
      <c r="K68" s="18" t="n">
        <v>49</v>
      </c>
      <c r="L68" s="19" t="n">
        <v>100</v>
      </c>
      <c r="M68" s="19" t="n">
        <v>95</v>
      </c>
      <c r="N68" s="20" t="n">
        <v>100</v>
      </c>
      <c r="O68" s="20" t="n">
        <v>93</v>
      </c>
      <c r="P68" s="11" t="n">
        <v>600</v>
      </c>
      <c r="Q68" s="11" t="n">
        <f aca="false">E68+G68+I68+K68+M68+O68</f>
        <v>417</v>
      </c>
      <c r="R68" s="12" t="n">
        <f aca="false">ROUND(Q68/P68*100,2)</f>
        <v>69.5</v>
      </c>
      <c r="S68" s="13" t="str">
        <f aca="false">IF(R68&gt;=90,"A+",IF(R68&gt;=80,"A",IF(R68&gt;=70,"B+",IF(R68&gt;=60,"B",IF(R68&gt;=45,"C",IF(R68&gt;=33,"D","F"))))))</f>
        <v>B</v>
      </c>
      <c r="T68" s="14" t="str">
        <f aca="false">IF(AND(E68&gt;=33,G68&gt;=33,I68&gt;=33,K68&gt;=33,M68&gt;=33,O68&gt;=33),"Pass","Fail")</f>
        <v>Pass</v>
      </c>
    </row>
    <row r="69" customFormat="false" ht="18" hidden="false" customHeight="true" outlineLevel="0" collapsed="false">
      <c r="A69" s="15" t="s">
        <v>89</v>
      </c>
      <c r="B69" s="16" t="s">
        <v>95</v>
      </c>
      <c r="C69" s="17" t="n">
        <v>6</v>
      </c>
      <c r="D69" s="7" t="n">
        <v>100</v>
      </c>
      <c r="E69" s="7" t="n">
        <v>46</v>
      </c>
      <c r="F69" s="8" t="n">
        <v>100</v>
      </c>
      <c r="G69" s="8" t="n">
        <v>58</v>
      </c>
      <c r="H69" s="9" t="n">
        <v>100</v>
      </c>
      <c r="I69" s="9" t="n">
        <v>93</v>
      </c>
      <c r="J69" s="18" t="n">
        <v>100</v>
      </c>
      <c r="K69" s="18" t="n">
        <v>98</v>
      </c>
      <c r="L69" s="19" t="n">
        <v>100</v>
      </c>
      <c r="M69" s="19" t="n">
        <v>41</v>
      </c>
      <c r="N69" s="20" t="n">
        <v>100</v>
      </c>
      <c r="O69" s="20" t="n">
        <v>36</v>
      </c>
      <c r="P69" s="11" t="n">
        <v>600</v>
      </c>
      <c r="Q69" s="11" t="n">
        <f aca="false">E69+G69+I69+K69+M69+O69</f>
        <v>372</v>
      </c>
      <c r="R69" s="12" t="n">
        <f aca="false">ROUND(Q69/P69*100,2)</f>
        <v>62</v>
      </c>
      <c r="S69" s="13" t="str">
        <f aca="false">IF(R69&gt;=90,"A+",IF(R69&gt;=80,"A",IF(R69&gt;=70,"B+",IF(R69&gt;=60,"B",IF(R69&gt;=45,"C",IF(R69&gt;=33,"D","F"))))))</f>
        <v>B</v>
      </c>
      <c r="T69" s="14" t="str">
        <f aca="false">IF(AND(E69&gt;=33,G69&gt;=33,I69&gt;=33,K69&gt;=33,M69&gt;=33,O69&gt;=33),"Pass","Fail")</f>
        <v>Pass</v>
      </c>
    </row>
    <row r="70" customFormat="false" ht="18" hidden="false" customHeight="true" outlineLevel="0" collapsed="false">
      <c r="A70" s="15" t="s">
        <v>89</v>
      </c>
      <c r="B70" s="16" t="s">
        <v>96</v>
      </c>
      <c r="C70" s="17" t="n">
        <v>7</v>
      </c>
      <c r="D70" s="7" t="n">
        <v>100</v>
      </c>
      <c r="E70" s="7" t="n">
        <v>72</v>
      </c>
      <c r="F70" s="8" t="n">
        <v>100</v>
      </c>
      <c r="G70" s="8" t="n">
        <v>41</v>
      </c>
      <c r="H70" s="9" t="n">
        <v>100</v>
      </c>
      <c r="I70" s="9" t="n">
        <v>53</v>
      </c>
      <c r="J70" s="18" t="n">
        <v>100</v>
      </c>
      <c r="K70" s="18" t="n">
        <v>52</v>
      </c>
      <c r="L70" s="19" t="n">
        <v>100</v>
      </c>
      <c r="M70" s="19" t="n">
        <v>44</v>
      </c>
      <c r="N70" s="20" t="n">
        <v>100</v>
      </c>
      <c r="O70" s="20" t="n">
        <v>49</v>
      </c>
      <c r="P70" s="11" t="n">
        <v>600</v>
      </c>
      <c r="Q70" s="11" t="n">
        <f aca="false">E70+G70+I70+K70+M70+O70</f>
        <v>311</v>
      </c>
      <c r="R70" s="12" t="n">
        <f aca="false">ROUND(Q70/P70*100,2)</f>
        <v>51.83</v>
      </c>
      <c r="S70" s="13" t="str">
        <f aca="false">IF(R70&gt;=90,"A+",IF(R70&gt;=80,"A",IF(R70&gt;=70,"B+",IF(R70&gt;=60,"B",IF(R70&gt;=45,"C",IF(R70&gt;=33,"D","F"))))))</f>
        <v>C</v>
      </c>
      <c r="T70" s="14" t="str">
        <f aca="false">IF(AND(E70&gt;=33,G70&gt;=33,I70&gt;=33,K70&gt;=33,M70&gt;=33,O70&gt;=33),"Pass","Fail")</f>
        <v>Pass</v>
      </c>
    </row>
    <row r="71" customFormat="false" ht="18" hidden="false" customHeight="true" outlineLevel="0" collapsed="false">
      <c r="A71" s="15" t="s">
        <v>89</v>
      </c>
      <c r="B71" s="16" t="s">
        <v>97</v>
      </c>
      <c r="C71" s="17" t="n">
        <v>8</v>
      </c>
      <c r="D71" s="7" t="n">
        <v>100</v>
      </c>
      <c r="E71" s="7" t="n">
        <v>93</v>
      </c>
      <c r="F71" s="8" t="n">
        <v>100</v>
      </c>
      <c r="G71" s="8" t="n">
        <v>76</v>
      </c>
      <c r="H71" s="9" t="n">
        <v>100</v>
      </c>
      <c r="I71" s="9" t="n">
        <v>60</v>
      </c>
      <c r="J71" s="18" t="n">
        <v>100</v>
      </c>
      <c r="K71" s="18" t="n">
        <v>57</v>
      </c>
      <c r="L71" s="19" t="n">
        <v>100</v>
      </c>
      <c r="M71" s="19" t="n">
        <v>50</v>
      </c>
      <c r="N71" s="20" t="n">
        <v>100</v>
      </c>
      <c r="O71" s="20" t="n">
        <v>84</v>
      </c>
      <c r="P71" s="11" t="n">
        <v>600</v>
      </c>
      <c r="Q71" s="11" t="n">
        <f aca="false">E71+G71+I71+K71+M71+O71</f>
        <v>420</v>
      </c>
      <c r="R71" s="12" t="n">
        <f aca="false">ROUND(Q71/P71*100,2)</f>
        <v>70</v>
      </c>
      <c r="S71" s="13" t="str">
        <f aca="false">IF(R71&gt;=90,"A+",IF(R71&gt;=80,"A",IF(R71&gt;=70,"B+",IF(R71&gt;=60,"B",IF(R71&gt;=45,"C",IF(R71&gt;=33,"D","F"))))))</f>
        <v>B+</v>
      </c>
      <c r="T71" s="14" t="str">
        <f aca="false">IF(AND(E71&gt;=33,G71&gt;=33,I71&gt;=33,K71&gt;=33,M71&gt;=33,O71&gt;=33),"Pass","Fail")</f>
        <v>Pass</v>
      </c>
    </row>
    <row r="72" customFormat="false" ht="18" hidden="false" customHeight="true" outlineLevel="0" collapsed="false">
      <c r="A72" s="15" t="s">
        <v>89</v>
      </c>
      <c r="B72" s="16" t="s">
        <v>98</v>
      </c>
      <c r="C72" s="17" t="n">
        <v>9</v>
      </c>
      <c r="D72" s="7" t="n">
        <v>100</v>
      </c>
      <c r="E72" s="7" t="n">
        <v>59</v>
      </c>
      <c r="F72" s="8" t="n">
        <v>100</v>
      </c>
      <c r="G72" s="8" t="n">
        <v>34</v>
      </c>
      <c r="H72" s="9" t="n">
        <v>100</v>
      </c>
      <c r="I72" s="9" t="n">
        <v>100</v>
      </c>
      <c r="J72" s="18" t="n">
        <v>100</v>
      </c>
      <c r="K72" s="18" t="n">
        <v>93</v>
      </c>
      <c r="L72" s="19" t="n">
        <v>100</v>
      </c>
      <c r="M72" s="19" t="n">
        <v>38</v>
      </c>
      <c r="N72" s="20" t="n">
        <v>100</v>
      </c>
      <c r="O72" s="20" t="n">
        <v>79</v>
      </c>
      <c r="P72" s="11" t="n">
        <v>600</v>
      </c>
      <c r="Q72" s="11" t="n">
        <f aca="false">E72+G72+I72+K72+M72+O72</f>
        <v>403</v>
      </c>
      <c r="R72" s="12" t="n">
        <f aca="false">ROUND(Q72/P72*100,2)</f>
        <v>67.17</v>
      </c>
      <c r="S72" s="13" t="str">
        <f aca="false">IF(R72&gt;=90,"A+",IF(R72&gt;=80,"A",IF(R72&gt;=70,"B+",IF(R72&gt;=60,"B",IF(R72&gt;=45,"C",IF(R72&gt;=33,"D","F"))))))</f>
        <v>B</v>
      </c>
      <c r="T72" s="14" t="str">
        <f aca="false">IF(AND(E72&gt;=33,G72&gt;=33,I72&gt;=33,K72&gt;=33,M72&gt;=33,O72&gt;=33),"Pass","Fail")</f>
        <v>Pass</v>
      </c>
    </row>
    <row r="73" customFormat="false" ht="18" hidden="false" customHeight="true" outlineLevel="0" collapsed="false">
      <c r="A73" s="15" t="s">
        <v>89</v>
      </c>
      <c r="B73" s="16" t="s">
        <v>99</v>
      </c>
      <c r="C73" s="17" t="n">
        <v>10</v>
      </c>
      <c r="D73" s="7" t="n">
        <v>100</v>
      </c>
      <c r="E73" s="7" t="n">
        <v>45</v>
      </c>
      <c r="F73" s="8" t="n">
        <v>100</v>
      </c>
      <c r="G73" s="8" t="n">
        <v>52</v>
      </c>
      <c r="H73" s="9" t="n">
        <v>100</v>
      </c>
      <c r="I73" s="9" t="n">
        <v>31</v>
      </c>
      <c r="J73" s="18" t="n">
        <v>100</v>
      </c>
      <c r="K73" s="18" t="n">
        <v>38</v>
      </c>
      <c r="L73" s="19" t="n">
        <v>100</v>
      </c>
      <c r="M73" s="19" t="n">
        <v>78</v>
      </c>
      <c r="N73" s="20" t="n">
        <v>100</v>
      </c>
      <c r="O73" s="20" t="n">
        <v>89</v>
      </c>
      <c r="P73" s="11" t="n">
        <v>600</v>
      </c>
      <c r="Q73" s="11" t="n">
        <f aca="false">E73+G73+I73+K73+M73+O73</f>
        <v>333</v>
      </c>
      <c r="R73" s="12" t="n">
        <f aca="false">ROUND(Q73/P73*100,2)</f>
        <v>55.5</v>
      </c>
      <c r="S73" s="13" t="str">
        <f aca="false">IF(R73&gt;=90,"A+",IF(R73&gt;=80,"A",IF(R73&gt;=70,"B+",IF(R73&gt;=60,"B",IF(R73&gt;=45,"C",IF(R73&gt;=33,"D","F"))))))</f>
        <v>C</v>
      </c>
      <c r="T73" s="14" t="str">
        <f aca="false">IF(AND(E73&gt;=33,G73&gt;=33,I73&gt;=33,K73&gt;=33,M73&gt;=33,O73&gt;=33),"Pass","Fail")</f>
        <v>Fail</v>
      </c>
    </row>
    <row r="74" customFormat="false" ht="18" hidden="false" customHeight="true" outlineLevel="0" collapsed="false">
      <c r="A74" s="15" t="s">
        <v>89</v>
      </c>
      <c r="B74" s="16" t="s">
        <v>100</v>
      </c>
      <c r="C74" s="17" t="n">
        <v>11</v>
      </c>
      <c r="D74" s="7" t="n">
        <v>100</v>
      </c>
      <c r="E74" s="7" t="n">
        <v>91</v>
      </c>
      <c r="F74" s="8" t="n">
        <v>100</v>
      </c>
      <c r="G74" s="8" t="n">
        <v>39</v>
      </c>
      <c r="H74" s="9" t="n">
        <v>100</v>
      </c>
      <c r="I74" s="9" t="n">
        <v>65</v>
      </c>
      <c r="J74" s="18" t="n">
        <v>100</v>
      </c>
      <c r="K74" s="18" t="n">
        <v>32</v>
      </c>
      <c r="L74" s="19" t="n">
        <v>100</v>
      </c>
      <c r="M74" s="19" t="n">
        <v>97</v>
      </c>
      <c r="N74" s="20" t="n">
        <v>100</v>
      </c>
      <c r="O74" s="20" t="n">
        <v>62</v>
      </c>
      <c r="P74" s="11" t="n">
        <v>600</v>
      </c>
      <c r="Q74" s="11" t="n">
        <f aca="false">E74+G74+I74+K74+M74+O74</f>
        <v>386</v>
      </c>
      <c r="R74" s="12" t="n">
        <f aca="false">ROUND(Q74/P74*100,2)</f>
        <v>64.33</v>
      </c>
      <c r="S74" s="13" t="str">
        <f aca="false">IF(R74&gt;=90,"A+",IF(R74&gt;=80,"A",IF(R74&gt;=70,"B+",IF(R74&gt;=60,"B",IF(R74&gt;=45,"C",IF(R74&gt;=33,"D","F"))))))</f>
        <v>B</v>
      </c>
      <c r="T74" s="14" t="str">
        <f aca="false">IF(AND(E74&gt;=33,G74&gt;=33,I74&gt;=33,K74&gt;=33,M74&gt;=33,O74&gt;=33),"Pass","Fail")</f>
        <v>Fail</v>
      </c>
    </row>
    <row r="75" customFormat="false" ht="18" hidden="false" customHeight="true" outlineLevel="0" collapsed="false">
      <c r="A75" s="15" t="s">
        <v>89</v>
      </c>
      <c r="B75" s="16" t="s">
        <v>101</v>
      </c>
      <c r="C75" s="17" t="n">
        <v>12</v>
      </c>
      <c r="D75" s="7" t="n">
        <v>100</v>
      </c>
      <c r="E75" s="7" t="n">
        <v>60</v>
      </c>
      <c r="F75" s="8" t="n">
        <v>100</v>
      </c>
      <c r="G75" s="8" t="n">
        <v>50</v>
      </c>
      <c r="H75" s="9" t="n">
        <v>100</v>
      </c>
      <c r="I75" s="9" t="n">
        <v>46</v>
      </c>
      <c r="J75" s="18" t="n">
        <v>100</v>
      </c>
      <c r="K75" s="18" t="n">
        <v>56</v>
      </c>
      <c r="L75" s="19" t="n">
        <v>100</v>
      </c>
      <c r="M75" s="19" t="n">
        <v>100</v>
      </c>
      <c r="N75" s="20" t="n">
        <v>100</v>
      </c>
      <c r="O75" s="20" t="n">
        <v>31</v>
      </c>
      <c r="P75" s="11" t="n">
        <v>600</v>
      </c>
      <c r="Q75" s="11" t="n">
        <f aca="false">E75+G75+I75+K75+M75+O75</f>
        <v>343</v>
      </c>
      <c r="R75" s="12" t="n">
        <f aca="false">ROUND(Q75/P75*100,2)</f>
        <v>57.17</v>
      </c>
      <c r="S75" s="13" t="str">
        <f aca="false">IF(R75&gt;=90,"A+",IF(R75&gt;=80,"A",IF(R75&gt;=70,"B+",IF(R75&gt;=60,"B",IF(R75&gt;=45,"C",IF(R75&gt;=33,"D","F"))))))</f>
        <v>C</v>
      </c>
      <c r="T75" s="14" t="str">
        <f aca="false">IF(AND(E75&gt;=33,G75&gt;=33,I75&gt;=33,K75&gt;=33,M75&gt;=33,O75&gt;=33),"Pass","Fail")</f>
        <v>Fail</v>
      </c>
    </row>
    <row r="76" customFormat="false" ht="18" hidden="false" customHeight="true" outlineLevel="0" collapsed="false">
      <c r="A76" s="15" t="s">
        <v>89</v>
      </c>
      <c r="B76" s="16" t="s">
        <v>102</v>
      </c>
      <c r="C76" s="17" t="n">
        <v>13</v>
      </c>
      <c r="D76" s="7" t="n">
        <v>100</v>
      </c>
      <c r="E76" s="7" t="n">
        <v>76</v>
      </c>
      <c r="F76" s="8" t="n">
        <v>100</v>
      </c>
      <c r="G76" s="8" t="n">
        <v>75</v>
      </c>
      <c r="H76" s="9" t="n">
        <v>100</v>
      </c>
      <c r="I76" s="9" t="n">
        <v>84</v>
      </c>
      <c r="J76" s="18" t="n">
        <v>100</v>
      </c>
      <c r="K76" s="18" t="n">
        <v>84</v>
      </c>
      <c r="L76" s="19" t="n">
        <v>100</v>
      </c>
      <c r="M76" s="19" t="n">
        <v>44</v>
      </c>
      <c r="N76" s="20" t="n">
        <v>100</v>
      </c>
      <c r="O76" s="20" t="n">
        <v>98</v>
      </c>
      <c r="P76" s="11" t="n">
        <v>600</v>
      </c>
      <c r="Q76" s="11" t="n">
        <f aca="false">E76+G76+I76+K76+M76+O76</f>
        <v>461</v>
      </c>
      <c r="R76" s="12" t="n">
        <f aca="false">ROUND(Q76/P76*100,2)</f>
        <v>76.83</v>
      </c>
      <c r="S76" s="13" t="str">
        <f aca="false">IF(R76&gt;=90,"A+",IF(R76&gt;=80,"A",IF(R76&gt;=70,"B+",IF(R76&gt;=60,"B",IF(R76&gt;=45,"C",IF(R76&gt;=33,"D","F"))))))</f>
        <v>B+</v>
      </c>
      <c r="T76" s="14" t="str">
        <f aca="false">IF(AND(E76&gt;=33,G76&gt;=33,I76&gt;=33,K76&gt;=33,M76&gt;=33,O76&gt;=33),"Pass","Fail")</f>
        <v>Pass</v>
      </c>
    </row>
    <row r="77" customFormat="false" ht="18" hidden="false" customHeight="true" outlineLevel="0" collapsed="false">
      <c r="A77" s="15" t="s">
        <v>89</v>
      </c>
      <c r="B77" s="16" t="s">
        <v>103</v>
      </c>
      <c r="C77" s="17" t="n">
        <v>14</v>
      </c>
      <c r="D77" s="7" t="n">
        <v>100</v>
      </c>
      <c r="E77" s="7" t="n">
        <v>34</v>
      </c>
      <c r="F77" s="8" t="n">
        <v>100</v>
      </c>
      <c r="G77" s="8" t="n">
        <v>45</v>
      </c>
      <c r="H77" s="9" t="n">
        <v>100</v>
      </c>
      <c r="I77" s="9" t="n">
        <v>37</v>
      </c>
      <c r="J77" s="18" t="n">
        <v>100</v>
      </c>
      <c r="K77" s="18" t="n">
        <v>51</v>
      </c>
      <c r="L77" s="19" t="n">
        <v>100</v>
      </c>
      <c r="M77" s="19" t="n">
        <v>64</v>
      </c>
      <c r="N77" s="20" t="n">
        <v>100</v>
      </c>
      <c r="O77" s="20" t="n">
        <v>73</v>
      </c>
      <c r="P77" s="11" t="n">
        <v>600</v>
      </c>
      <c r="Q77" s="11" t="n">
        <f aca="false">E77+G77+I77+K77+M77+O77</f>
        <v>304</v>
      </c>
      <c r="R77" s="12" t="n">
        <f aca="false">ROUND(Q77/P77*100,2)</f>
        <v>50.67</v>
      </c>
      <c r="S77" s="13" t="str">
        <f aca="false">IF(R77&gt;=90,"A+",IF(R77&gt;=80,"A",IF(R77&gt;=70,"B+",IF(R77&gt;=60,"B",IF(R77&gt;=45,"C",IF(R77&gt;=33,"D","F"))))))</f>
        <v>C</v>
      </c>
      <c r="T77" s="14" t="str">
        <f aca="false">IF(AND(E77&gt;=33,G77&gt;=33,I77&gt;=33,K77&gt;=33,M77&gt;=33,O77&gt;=33),"Pass","Fail")</f>
        <v>Pass</v>
      </c>
    </row>
    <row r="78" customFormat="false" ht="18" hidden="false" customHeight="true" outlineLevel="0" collapsed="false">
      <c r="A78" s="15" t="s">
        <v>89</v>
      </c>
      <c r="B78" s="16" t="s">
        <v>104</v>
      </c>
      <c r="C78" s="17" t="n">
        <v>15</v>
      </c>
      <c r="D78" s="7" t="n">
        <v>100</v>
      </c>
      <c r="E78" s="7" t="n">
        <v>80</v>
      </c>
      <c r="F78" s="8" t="n">
        <v>100</v>
      </c>
      <c r="G78" s="8" t="n">
        <v>56</v>
      </c>
      <c r="H78" s="9" t="n">
        <v>100</v>
      </c>
      <c r="I78" s="9" t="n">
        <v>89</v>
      </c>
      <c r="J78" s="18" t="n">
        <v>100</v>
      </c>
      <c r="K78" s="18" t="n">
        <v>44</v>
      </c>
      <c r="L78" s="19" t="n">
        <v>100</v>
      </c>
      <c r="M78" s="19" t="n">
        <v>44</v>
      </c>
      <c r="N78" s="20" t="n">
        <v>100</v>
      </c>
      <c r="O78" s="20" t="n">
        <v>67</v>
      </c>
      <c r="P78" s="11" t="n">
        <v>600</v>
      </c>
      <c r="Q78" s="11" t="n">
        <f aca="false">E78+G78+I78+K78+M78+O78</f>
        <v>380</v>
      </c>
      <c r="R78" s="12" t="n">
        <f aca="false">ROUND(Q78/P78*100,2)</f>
        <v>63.33</v>
      </c>
      <c r="S78" s="13" t="str">
        <f aca="false">IF(R78&gt;=90,"A+",IF(R78&gt;=80,"A",IF(R78&gt;=70,"B+",IF(R78&gt;=60,"B",IF(R78&gt;=45,"C",IF(R78&gt;=33,"D","F"))))))</f>
        <v>B</v>
      </c>
      <c r="T78" s="14" t="str">
        <f aca="false">IF(AND(E78&gt;=33,G78&gt;=33,I78&gt;=33,K78&gt;=33,M78&gt;=33,O78&gt;=33),"Pass","Fail")</f>
        <v>Pass</v>
      </c>
    </row>
    <row r="79" customFormat="false" ht="18" hidden="false" customHeight="true" outlineLevel="0" collapsed="false">
      <c r="A79" s="15" t="s">
        <v>105</v>
      </c>
      <c r="B79" s="16" t="s">
        <v>106</v>
      </c>
      <c r="C79" s="17" t="n">
        <v>1</v>
      </c>
      <c r="D79" s="7" t="n">
        <v>100</v>
      </c>
      <c r="E79" s="7" t="n">
        <v>39</v>
      </c>
      <c r="F79" s="8" t="n">
        <v>100</v>
      </c>
      <c r="G79" s="8" t="n">
        <v>78</v>
      </c>
      <c r="H79" s="9" t="n">
        <v>100</v>
      </c>
      <c r="I79" s="9" t="n">
        <v>79</v>
      </c>
      <c r="J79" s="18" t="n">
        <v>100</v>
      </c>
      <c r="K79" s="18" t="n">
        <v>72</v>
      </c>
      <c r="L79" s="19" t="n">
        <v>100</v>
      </c>
      <c r="M79" s="19" t="n">
        <v>85</v>
      </c>
      <c r="N79" s="20" t="n">
        <v>100</v>
      </c>
      <c r="O79" s="20" t="n">
        <v>50</v>
      </c>
      <c r="P79" s="11" t="n">
        <v>600</v>
      </c>
      <c r="Q79" s="11" t="n">
        <f aca="false">E79+G79+I79+K79+M79+O79</f>
        <v>403</v>
      </c>
      <c r="R79" s="12" t="n">
        <f aca="false">ROUND(Q79/P79*100,2)</f>
        <v>67.17</v>
      </c>
      <c r="S79" s="13" t="str">
        <f aca="false">IF(R79&gt;=90,"A+",IF(R79&gt;=80,"A",IF(R79&gt;=70,"B+",IF(R79&gt;=60,"B",IF(R79&gt;=45,"C",IF(R79&gt;=33,"D","F"))))))</f>
        <v>B</v>
      </c>
      <c r="T79" s="14" t="str">
        <f aca="false">IF(AND(E79&gt;=33,G79&gt;=33,I79&gt;=33,K79&gt;=33,M79&gt;=33,O79&gt;=33),"Pass","Fail")</f>
        <v>Pass</v>
      </c>
    </row>
    <row r="80" customFormat="false" ht="18" hidden="false" customHeight="true" outlineLevel="0" collapsed="false">
      <c r="A80" s="15" t="s">
        <v>105</v>
      </c>
      <c r="B80" s="16" t="s">
        <v>107</v>
      </c>
      <c r="C80" s="17" t="n">
        <v>2</v>
      </c>
      <c r="D80" s="7" t="n">
        <v>100</v>
      </c>
      <c r="E80" s="7" t="n">
        <v>44</v>
      </c>
      <c r="F80" s="8" t="n">
        <v>100</v>
      </c>
      <c r="G80" s="8" t="n">
        <v>66</v>
      </c>
      <c r="H80" s="9" t="n">
        <v>100</v>
      </c>
      <c r="I80" s="9" t="n">
        <v>32</v>
      </c>
      <c r="J80" s="18" t="n">
        <v>100</v>
      </c>
      <c r="K80" s="18" t="n">
        <v>75</v>
      </c>
      <c r="L80" s="19" t="n">
        <v>100</v>
      </c>
      <c r="M80" s="19" t="n">
        <v>88</v>
      </c>
      <c r="N80" s="20" t="n">
        <v>100</v>
      </c>
      <c r="O80" s="20" t="n">
        <v>30</v>
      </c>
      <c r="P80" s="11" t="n">
        <v>600</v>
      </c>
      <c r="Q80" s="11" t="n">
        <f aca="false">E80+G80+I80+K80+M80+O80</f>
        <v>335</v>
      </c>
      <c r="R80" s="12" t="n">
        <f aca="false">ROUND(Q80/P80*100,2)</f>
        <v>55.83</v>
      </c>
      <c r="S80" s="13" t="str">
        <f aca="false">IF(R80&gt;=90,"A+",IF(R80&gt;=80,"A",IF(R80&gt;=70,"B+",IF(R80&gt;=60,"B",IF(R80&gt;=45,"C",IF(R80&gt;=33,"D","F"))))))</f>
        <v>C</v>
      </c>
      <c r="T80" s="14" t="str">
        <f aca="false">IF(AND(E80&gt;=33,G80&gt;=33,I80&gt;=33,K80&gt;=33,M80&gt;=33,O80&gt;=33),"Pass","Fail")</f>
        <v>Fail</v>
      </c>
    </row>
    <row r="81" customFormat="false" ht="18" hidden="false" customHeight="true" outlineLevel="0" collapsed="false">
      <c r="A81" s="15" t="s">
        <v>105</v>
      </c>
      <c r="B81" s="16" t="s">
        <v>108</v>
      </c>
      <c r="C81" s="17" t="n">
        <v>3</v>
      </c>
      <c r="D81" s="7" t="n">
        <v>100</v>
      </c>
      <c r="E81" s="7" t="n">
        <v>63</v>
      </c>
      <c r="F81" s="8" t="n">
        <v>100</v>
      </c>
      <c r="G81" s="8" t="n">
        <v>54</v>
      </c>
      <c r="H81" s="9" t="n">
        <v>100</v>
      </c>
      <c r="I81" s="9" t="n">
        <v>46</v>
      </c>
      <c r="J81" s="18" t="n">
        <v>100</v>
      </c>
      <c r="K81" s="18" t="n">
        <v>54</v>
      </c>
      <c r="L81" s="19" t="n">
        <v>100</v>
      </c>
      <c r="M81" s="19" t="n">
        <v>63</v>
      </c>
      <c r="N81" s="20" t="n">
        <v>100</v>
      </c>
      <c r="O81" s="20" t="n">
        <v>94</v>
      </c>
      <c r="P81" s="11" t="n">
        <v>600</v>
      </c>
      <c r="Q81" s="11" t="n">
        <f aca="false">E81+G81+I81+K81+M81+O81</f>
        <v>374</v>
      </c>
      <c r="R81" s="12" t="n">
        <f aca="false">ROUND(Q81/P81*100,2)</f>
        <v>62.33</v>
      </c>
      <c r="S81" s="13" t="str">
        <f aca="false">IF(R81&gt;=90,"A+",IF(R81&gt;=80,"A",IF(R81&gt;=70,"B+",IF(R81&gt;=60,"B",IF(R81&gt;=45,"C",IF(R81&gt;=33,"D","F"))))))</f>
        <v>B</v>
      </c>
      <c r="T81" s="14" t="str">
        <f aca="false">IF(AND(E81&gt;=33,G81&gt;=33,I81&gt;=33,K81&gt;=33,M81&gt;=33,O81&gt;=33),"Pass","Fail")</f>
        <v>Pass</v>
      </c>
    </row>
    <row r="82" customFormat="false" ht="18" hidden="false" customHeight="true" outlineLevel="0" collapsed="false">
      <c r="A82" s="15" t="s">
        <v>105</v>
      </c>
      <c r="B82" s="16" t="s">
        <v>109</v>
      </c>
      <c r="C82" s="17" t="n">
        <v>4</v>
      </c>
      <c r="D82" s="7" t="n">
        <v>100</v>
      </c>
      <c r="E82" s="7" t="n">
        <v>68</v>
      </c>
      <c r="F82" s="8" t="n">
        <v>100</v>
      </c>
      <c r="G82" s="8" t="n">
        <v>56</v>
      </c>
      <c r="H82" s="9" t="n">
        <v>100</v>
      </c>
      <c r="I82" s="9" t="n">
        <v>50</v>
      </c>
      <c r="J82" s="18" t="n">
        <v>100</v>
      </c>
      <c r="K82" s="18" t="n">
        <v>33</v>
      </c>
      <c r="L82" s="19" t="n">
        <v>100</v>
      </c>
      <c r="M82" s="19" t="n">
        <v>52</v>
      </c>
      <c r="N82" s="20" t="n">
        <v>100</v>
      </c>
      <c r="O82" s="20" t="n">
        <v>94</v>
      </c>
      <c r="P82" s="11" t="n">
        <v>600</v>
      </c>
      <c r="Q82" s="11" t="n">
        <f aca="false">E82+G82+I82+K82+M82+O82</f>
        <v>353</v>
      </c>
      <c r="R82" s="12" t="n">
        <f aca="false">ROUND(Q82/P82*100,2)</f>
        <v>58.83</v>
      </c>
      <c r="S82" s="13" t="str">
        <f aca="false">IF(R82&gt;=90,"A+",IF(R82&gt;=80,"A",IF(R82&gt;=70,"B+",IF(R82&gt;=60,"B",IF(R82&gt;=45,"C",IF(R82&gt;=33,"D","F"))))))</f>
        <v>C</v>
      </c>
      <c r="T82" s="14" t="str">
        <f aca="false">IF(AND(E82&gt;=33,G82&gt;=33,I82&gt;=33,K82&gt;=33,M82&gt;=33,O82&gt;=33),"Pass","Fail")</f>
        <v>Pass</v>
      </c>
    </row>
    <row r="83" customFormat="false" ht="18" hidden="false" customHeight="true" outlineLevel="0" collapsed="false">
      <c r="A83" s="15" t="s">
        <v>105</v>
      </c>
      <c r="B83" s="16" t="s">
        <v>110</v>
      </c>
      <c r="C83" s="17" t="n">
        <v>5</v>
      </c>
      <c r="D83" s="7" t="n">
        <v>100</v>
      </c>
      <c r="E83" s="7" t="n">
        <v>99</v>
      </c>
      <c r="F83" s="8" t="n">
        <v>100</v>
      </c>
      <c r="G83" s="8" t="n">
        <v>64</v>
      </c>
      <c r="H83" s="9" t="n">
        <v>100</v>
      </c>
      <c r="I83" s="9" t="n">
        <v>64</v>
      </c>
      <c r="J83" s="18" t="n">
        <v>100</v>
      </c>
      <c r="K83" s="18" t="n">
        <v>70</v>
      </c>
      <c r="L83" s="19" t="n">
        <v>100</v>
      </c>
      <c r="M83" s="19" t="n">
        <v>43</v>
      </c>
      <c r="N83" s="20" t="n">
        <v>100</v>
      </c>
      <c r="O83" s="20" t="n">
        <v>68</v>
      </c>
      <c r="P83" s="11" t="n">
        <v>600</v>
      </c>
      <c r="Q83" s="11" t="n">
        <f aca="false">E83+G83+I83+K83+M83+O83</f>
        <v>408</v>
      </c>
      <c r="R83" s="12" t="n">
        <f aca="false">ROUND(Q83/P83*100,2)</f>
        <v>68</v>
      </c>
      <c r="S83" s="13" t="str">
        <f aca="false">IF(R83&gt;=90,"A+",IF(R83&gt;=80,"A",IF(R83&gt;=70,"B+",IF(R83&gt;=60,"B",IF(R83&gt;=45,"C",IF(R83&gt;=33,"D","F"))))))</f>
        <v>B</v>
      </c>
      <c r="T83" s="14" t="str">
        <f aca="false">IF(AND(E83&gt;=33,G83&gt;=33,I83&gt;=33,K83&gt;=33,M83&gt;=33,O83&gt;=33),"Pass","Fail")</f>
        <v>Pass</v>
      </c>
    </row>
    <row r="84" customFormat="false" ht="18" hidden="false" customHeight="true" outlineLevel="0" collapsed="false">
      <c r="A84" s="15" t="s">
        <v>105</v>
      </c>
      <c r="B84" s="16" t="s">
        <v>111</v>
      </c>
      <c r="C84" s="17" t="n">
        <v>6</v>
      </c>
      <c r="D84" s="7" t="n">
        <v>100</v>
      </c>
      <c r="E84" s="7" t="n">
        <v>96</v>
      </c>
      <c r="F84" s="8" t="n">
        <v>100</v>
      </c>
      <c r="G84" s="8" t="n">
        <v>39</v>
      </c>
      <c r="H84" s="9" t="n">
        <v>100</v>
      </c>
      <c r="I84" s="9" t="n">
        <v>82</v>
      </c>
      <c r="J84" s="18" t="n">
        <v>100</v>
      </c>
      <c r="K84" s="18" t="n">
        <v>50</v>
      </c>
      <c r="L84" s="19" t="n">
        <v>100</v>
      </c>
      <c r="M84" s="19" t="n">
        <v>94</v>
      </c>
      <c r="N84" s="20" t="n">
        <v>100</v>
      </c>
      <c r="O84" s="20" t="n">
        <v>55</v>
      </c>
      <c r="P84" s="11" t="n">
        <v>600</v>
      </c>
      <c r="Q84" s="11" t="n">
        <f aca="false">E84+G84+I84+K84+M84+O84</f>
        <v>416</v>
      </c>
      <c r="R84" s="12" t="n">
        <f aca="false">ROUND(Q84/P84*100,2)</f>
        <v>69.33</v>
      </c>
      <c r="S84" s="13" t="str">
        <f aca="false">IF(R84&gt;=90,"A+",IF(R84&gt;=80,"A",IF(R84&gt;=70,"B+",IF(R84&gt;=60,"B",IF(R84&gt;=45,"C",IF(R84&gt;=33,"D","F"))))))</f>
        <v>B</v>
      </c>
      <c r="T84" s="14" t="str">
        <f aca="false">IF(AND(E84&gt;=33,G84&gt;=33,I84&gt;=33,K84&gt;=33,M84&gt;=33,O84&gt;=33),"Pass","Fail")</f>
        <v>Pass</v>
      </c>
    </row>
    <row r="85" customFormat="false" ht="18" hidden="false" customHeight="true" outlineLevel="0" collapsed="false">
      <c r="A85" s="15" t="s">
        <v>105</v>
      </c>
      <c r="B85" s="16" t="s">
        <v>112</v>
      </c>
      <c r="C85" s="17" t="n">
        <v>7</v>
      </c>
      <c r="D85" s="7" t="n">
        <v>100</v>
      </c>
      <c r="E85" s="7" t="n">
        <v>64</v>
      </c>
      <c r="F85" s="8" t="n">
        <v>100</v>
      </c>
      <c r="G85" s="8" t="n">
        <v>63</v>
      </c>
      <c r="H85" s="9" t="n">
        <v>100</v>
      </c>
      <c r="I85" s="9" t="n">
        <v>42</v>
      </c>
      <c r="J85" s="18" t="n">
        <v>100</v>
      </c>
      <c r="K85" s="18" t="n">
        <v>93</v>
      </c>
      <c r="L85" s="19" t="n">
        <v>100</v>
      </c>
      <c r="M85" s="19" t="n">
        <v>49</v>
      </c>
      <c r="N85" s="20" t="n">
        <v>100</v>
      </c>
      <c r="O85" s="20" t="n">
        <v>77</v>
      </c>
      <c r="P85" s="11" t="n">
        <v>600</v>
      </c>
      <c r="Q85" s="11" t="n">
        <f aca="false">E85+G85+I85+K85+M85+O85</f>
        <v>388</v>
      </c>
      <c r="R85" s="12" t="n">
        <f aca="false">ROUND(Q85/P85*100,2)</f>
        <v>64.67</v>
      </c>
      <c r="S85" s="13" t="str">
        <f aca="false">IF(R85&gt;=90,"A+",IF(R85&gt;=80,"A",IF(R85&gt;=70,"B+",IF(R85&gt;=60,"B",IF(R85&gt;=45,"C",IF(R85&gt;=33,"D","F"))))))</f>
        <v>B</v>
      </c>
      <c r="T85" s="14" t="str">
        <f aca="false">IF(AND(E85&gt;=33,G85&gt;=33,I85&gt;=33,K85&gt;=33,M85&gt;=33,O85&gt;=33),"Pass","Fail")</f>
        <v>Pass</v>
      </c>
    </row>
    <row r="86" customFormat="false" ht="18" hidden="false" customHeight="true" outlineLevel="0" collapsed="false">
      <c r="A86" s="15" t="s">
        <v>105</v>
      </c>
      <c r="B86" s="16" t="s">
        <v>113</v>
      </c>
      <c r="C86" s="17" t="n">
        <v>8</v>
      </c>
      <c r="D86" s="7" t="n">
        <v>100</v>
      </c>
      <c r="E86" s="7" t="n">
        <v>100</v>
      </c>
      <c r="F86" s="8" t="n">
        <v>100</v>
      </c>
      <c r="G86" s="8" t="n">
        <v>45</v>
      </c>
      <c r="H86" s="9" t="n">
        <v>100</v>
      </c>
      <c r="I86" s="9" t="n">
        <v>87</v>
      </c>
      <c r="J86" s="18" t="n">
        <v>100</v>
      </c>
      <c r="K86" s="18" t="n">
        <v>41</v>
      </c>
      <c r="L86" s="19" t="n">
        <v>100</v>
      </c>
      <c r="M86" s="19" t="n">
        <v>50</v>
      </c>
      <c r="N86" s="20" t="n">
        <v>100</v>
      </c>
      <c r="O86" s="20" t="n">
        <v>99</v>
      </c>
      <c r="P86" s="11" t="n">
        <v>600</v>
      </c>
      <c r="Q86" s="11" t="n">
        <f aca="false">E86+G86+I86+K86+M86+O86</f>
        <v>422</v>
      </c>
      <c r="R86" s="12" t="n">
        <f aca="false">ROUND(Q86/P86*100,2)</f>
        <v>70.33</v>
      </c>
      <c r="S86" s="13" t="str">
        <f aca="false">IF(R86&gt;=90,"A+",IF(R86&gt;=80,"A",IF(R86&gt;=70,"B+",IF(R86&gt;=60,"B",IF(R86&gt;=45,"C",IF(R86&gt;=33,"D","F"))))))</f>
        <v>B+</v>
      </c>
      <c r="T86" s="14" t="str">
        <f aca="false">IF(AND(E86&gt;=33,G86&gt;=33,I86&gt;=33,K86&gt;=33,M86&gt;=33,O86&gt;=33),"Pass","Fail")</f>
        <v>Pass</v>
      </c>
    </row>
    <row r="87" customFormat="false" ht="18" hidden="false" customHeight="true" outlineLevel="0" collapsed="false">
      <c r="A87" s="15" t="s">
        <v>105</v>
      </c>
      <c r="B87" s="16" t="s">
        <v>114</v>
      </c>
      <c r="C87" s="17" t="n">
        <v>9</v>
      </c>
      <c r="D87" s="7" t="n">
        <v>100</v>
      </c>
      <c r="E87" s="7" t="n">
        <v>83</v>
      </c>
      <c r="F87" s="8" t="n">
        <v>100</v>
      </c>
      <c r="G87" s="8" t="n">
        <v>71</v>
      </c>
      <c r="H87" s="9" t="n">
        <v>100</v>
      </c>
      <c r="I87" s="9" t="n">
        <v>76</v>
      </c>
      <c r="J87" s="18" t="n">
        <v>100</v>
      </c>
      <c r="K87" s="18" t="n">
        <v>54</v>
      </c>
      <c r="L87" s="19" t="n">
        <v>100</v>
      </c>
      <c r="M87" s="19" t="n">
        <v>97</v>
      </c>
      <c r="N87" s="20" t="n">
        <v>100</v>
      </c>
      <c r="O87" s="20" t="n">
        <v>30</v>
      </c>
      <c r="P87" s="11" t="n">
        <v>600</v>
      </c>
      <c r="Q87" s="11" t="n">
        <f aca="false">E87+G87+I87+K87+M87+O87</f>
        <v>411</v>
      </c>
      <c r="R87" s="12" t="n">
        <f aca="false">ROUND(Q87/P87*100,2)</f>
        <v>68.5</v>
      </c>
      <c r="S87" s="13" t="str">
        <f aca="false">IF(R87&gt;=90,"A+",IF(R87&gt;=80,"A",IF(R87&gt;=70,"B+",IF(R87&gt;=60,"B",IF(R87&gt;=45,"C",IF(R87&gt;=33,"D","F"))))))</f>
        <v>B</v>
      </c>
      <c r="T87" s="14" t="str">
        <f aca="false">IF(AND(E87&gt;=33,G87&gt;=33,I87&gt;=33,K87&gt;=33,M87&gt;=33,O87&gt;=33),"Pass","Fail")</f>
        <v>Fail</v>
      </c>
    </row>
    <row r="88" customFormat="false" ht="18" hidden="false" customHeight="true" outlineLevel="0" collapsed="false">
      <c r="A88" s="15" t="s">
        <v>105</v>
      </c>
      <c r="B88" s="16" t="s">
        <v>115</v>
      </c>
      <c r="C88" s="17" t="n">
        <v>10</v>
      </c>
      <c r="D88" s="7" t="n">
        <v>100</v>
      </c>
      <c r="E88" s="7" t="n">
        <v>30</v>
      </c>
      <c r="F88" s="8" t="n">
        <v>100</v>
      </c>
      <c r="G88" s="8" t="n">
        <v>77</v>
      </c>
      <c r="H88" s="9" t="n">
        <v>100</v>
      </c>
      <c r="I88" s="9" t="n">
        <v>38</v>
      </c>
      <c r="J88" s="18" t="n">
        <v>100</v>
      </c>
      <c r="K88" s="18" t="n">
        <v>92</v>
      </c>
      <c r="L88" s="19" t="n">
        <v>100</v>
      </c>
      <c r="M88" s="19" t="n">
        <v>71</v>
      </c>
      <c r="N88" s="20" t="n">
        <v>100</v>
      </c>
      <c r="O88" s="20" t="n">
        <v>92</v>
      </c>
      <c r="P88" s="11" t="n">
        <v>600</v>
      </c>
      <c r="Q88" s="11" t="n">
        <f aca="false">E88+G88+I88+K88+M88+O88</f>
        <v>400</v>
      </c>
      <c r="R88" s="12" t="n">
        <f aca="false">ROUND(Q88/P88*100,2)</f>
        <v>66.67</v>
      </c>
      <c r="S88" s="13" t="str">
        <f aca="false">IF(R88&gt;=90,"A+",IF(R88&gt;=80,"A",IF(R88&gt;=70,"B+",IF(R88&gt;=60,"B",IF(R88&gt;=45,"C",IF(R88&gt;=33,"D","F"))))))</f>
        <v>B</v>
      </c>
      <c r="T88" s="14" t="str">
        <f aca="false">IF(AND(E88&gt;=33,G88&gt;=33,I88&gt;=33,K88&gt;=33,M88&gt;=33,O88&gt;=33),"Pass","Fail")</f>
        <v>Fail</v>
      </c>
    </row>
    <row r="89" customFormat="false" ht="18" hidden="false" customHeight="true" outlineLevel="0" collapsed="false">
      <c r="A89" s="15" t="s">
        <v>105</v>
      </c>
      <c r="B89" s="16" t="s">
        <v>116</v>
      </c>
      <c r="C89" s="17" t="n">
        <v>11</v>
      </c>
      <c r="D89" s="7" t="n">
        <v>100</v>
      </c>
      <c r="E89" s="7" t="n">
        <v>56</v>
      </c>
      <c r="F89" s="8" t="n">
        <v>100</v>
      </c>
      <c r="G89" s="8" t="n">
        <v>48</v>
      </c>
      <c r="H89" s="9" t="n">
        <v>100</v>
      </c>
      <c r="I89" s="9" t="n">
        <v>99</v>
      </c>
      <c r="J89" s="18" t="n">
        <v>100</v>
      </c>
      <c r="K89" s="18" t="n">
        <v>57</v>
      </c>
      <c r="L89" s="19" t="n">
        <v>100</v>
      </c>
      <c r="M89" s="19" t="n">
        <v>32</v>
      </c>
      <c r="N89" s="20" t="n">
        <v>100</v>
      </c>
      <c r="O89" s="20" t="n">
        <v>44</v>
      </c>
      <c r="P89" s="11" t="n">
        <v>600</v>
      </c>
      <c r="Q89" s="11" t="n">
        <f aca="false">E89+G89+I89+K89+M89+O89</f>
        <v>336</v>
      </c>
      <c r="R89" s="12" t="n">
        <f aca="false">ROUND(Q89/P89*100,2)</f>
        <v>56</v>
      </c>
      <c r="S89" s="13" t="str">
        <f aca="false">IF(R89&gt;=90,"A+",IF(R89&gt;=80,"A",IF(R89&gt;=70,"B+",IF(R89&gt;=60,"B",IF(R89&gt;=45,"C",IF(R89&gt;=33,"D","F"))))))</f>
        <v>C</v>
      </c>
      <c r="T89" s="14" t="str">
        <f aca="false">IF(AND(E89&gt;=33,G89&gt;=33,I89&gt;=33,K89&gt;=33,M89&gt;=33,O89&gt;=33),"Pass","Fail")</f>
        <v>Fail</v>
      </c>
    </row>
    <row r="90" customFormat="false" ht="18" hidden="false" customHeight="true" outlineLevel="0" collapsed="false">
      <c r="A90" s="15" t="s">
        <v>105</v>
      </c>
      <c r="B90" s="16" t="s">
        <v>117</v>
      </c>
      <c r="C90" s="17" t="n">
        <v>12</v>
      </c>
      <c r="D90" s="7" t="n">
        <v>100</v>
      </c>
      <c r="E90" s="7" t="n">
        <v>46</v>
      </c>
      <c r="F90" s="8" t="n">
        <v>100</v>
      </c>
      <c r="G90" s="8" t="n">
        <v>41</v>
      </c>
      <c r="H90" s="9" t="n">
        <v>100</v>
      </c>
      <c r="I90" s="9" t="n">
        <v>41</v>
      </c>
      <c r="J90" s="18" t="n">
        <v>100</v>
      </c>
      <c r="K90" s="18" t="n">
        <v>82</v>
      </c>
      <c r="L90" s="19" t="n">
        <v>100</v>
      </c>
      <c r="M90" s="19" t="n">
        <v>76</v>
      </c>
      <c r="N90" s="20" t="n">
        <v>100</v>
      </c>
      <c r="O90" s="20" t="n">
        <v>69</v>
      </c>
      <c r="P90" s="11" t="n">
        <v>600</v>
      </c>
      <c r="Q90" s="11" t="n">
        <f aca="false">E90+G90+I90+K90+M90+O90</f>
        <v>355</v>
      </c>
      <c r="R90" s="12" t="n">
        <f aca="false">ROUND(Q90/P90*100,2)</f>
        <v>59.17</v>
      </c>
      <c r="S90" s="13" t="str">
        <f aca="false">IF(R90&gt;=90,"A+",IF(R90&gt;=80,"A",IF(R90&gt;=70,"B+",IF(R90&gt;=60,"B",IF(R90&gt;=45,"C",IF(R90&gt;=33,"D","F"))))))</f>
        <v>C</v>
      </c>
      <c r="T90" s="14" t="str">
        <f aca="false">IF(AND(E90&gt;=33,G90&gt;=33,I90&gt;=33,K90&gt;=33,M90&gt;=33,O90&gt;=33),"Pass","Fail")</f>
        <v>Pass</v>
      </c>
    </row>
    <row r="91" customFormat="false" ht="18" hidden="false" customHeight="true" outlineLevel="0" collapsed="false">
      <c r="A91" s="15" t="s">
        <v>105</v>
      </c>
      <c r="B91" s="16" t="s">
        <v>118</v>
      </c>
      <c r="C91" s="17" t="n">
        <v>13</v>
      </c>
      <c r="D91" s="7" t="n">
        <v>100</v>
      </c>
      <c r="E91" s="7" t="n">
        <v>75</v>
      </c>
      <c r="F91" s="8" t="n">
        <v>100</v>
      </c>
      <c r="G91" s="8" t="n">
        <v>94</v>
      </c>
      <c r="H91" s="9" t="n">
        <v>100</v>
      </c>
      <c r="I91" s="9" t="n">
        <v>76</v>
      </c>
      <c r="J91" s="18" t="n">
        <v>100</v>
      </c>
      <c r="K91" s="18" t="n">
        <v>63</v>
      </c>
      <c r="L91" s="19" t="n">
        <v>100</v>
      </c>
      <c r="M91" s="19" t="n">
        <v>60</v>
      </c>
      <c r="N91" s="20" t="n">
        <v>100</v>
      </c>
      <c r="O91" s="20" t="n">
        <v>37</v>
      </c>
      <c r="P91" s="11" t="n">
        <v>600</v>
      </c>
      <c r="Q91" s="11" t="n">
        <f aca="false">E91+G91+I91+K91+M91+O91</f>
        <v>405</v>
      </c>
      <c r="R91" s="12" t="n">
        <f aca="false">ROUND(Q91/P91*100,2)</f>
        <v>67.5</v>
      </c>
      <c r="S91" s="13" t="str">
        <f aca="false">IF(R91&gt;=90,"A+",IF(R91&gt;=80,"A",IF(R91&gt;=70,"B+",IF(R91&gt;=60,"B",IF(R91&gt;=45,"C",IF(R91&gt;=33,"D","F"))))))</f>
        <v>B</v>
      </c>
      <c r="T91" s="14" t="str">
        <f aca="false">IF(AND(E91&gt;=33,G91&gt;=33,I91&gt;=33,K91&gt;=33,M91&gt;=33,O91&gt;=33),"Pass","Fail")</f>
        <v>Pass</v>
      </c>
    </row>
    <row r="92" customFormat="false" ht="18" hidden="false" customHeight="true" outlineLevel="0" collapsed="false">
      <c r="A92" s="15" t="s">
        <v>105</v>
      </c>
      <c r="B92" s="16" t="s">
        <v>119</v>
      </c>
      <c r="C92" s="17" t="n">
        <v>14</v>
      </c>
      <c r="D92" s="7" t="n">
        <v>100</v>
      </c>
      <c r="E92" s="7" t="n">
        <v>82</v>
      </c>
      <c r="F92" s="8" t="n">
        <v>100</v>
      </c>
      <c r="G92" s="8" t="n">
        <v>62</v>
      </c>
      <c r="H92" s="9" t="n">
        <v>100</v>
      </c>
      <c r="I92" s="9" t="n">
        <v>43</v>
      </c>
      <c r="J92" s="18" t="n">
        <v>100</v>
      </c>
      <c r="K92" s="18" t="n">
        <v>64</v>
      </c>
      <c r="L92" s="19" t="n">
        <v>100</v>
      </c>
      <c r="M92" s="19" t="n">
        <v>60</v>
      </c>
      <c r="N92" s="20" t="n">
        <v>100</v>
      </c>
      <c r="O92" s="20" t="n">
        <v>40</v>
      </c>
      <c r="P92" s="11" t="n">
        <v>600</v>
      </c>
      <c r="Q92" s="11" t="n">
        <f aca="false">E92+G92+I92+K92+M92+O92</f>
        <v>351</v>
      </c>
      <c r="R92" s="12" t="n">
        <f aca="false">ROUND(Q92/P92*100,2)</f>
        <v>58.5</v>
      </c>
      <c r="S92" s="13" t="str">
        <f aca="false">IF(R92&gt;=90,"A+",IF(R92&gt;=80,"A",IF(R92&gt;=70,"B+",IF(R92&gt;=60,"B",IF(R92&gt;=45,"C",IF(R92&gt;=33,"D","F"))))))</f>
        <v>C</v>
      </c>
      <c r="T92" s="14" t="str">
        <f aca="false">IF(AND(E92&gt;=33,G92&gt;=33,I92&gt;=33,K92&gt;=33,M92&gt;=33,O92&gt;=33),"Pass","Fail")</f>
        <v>Pass</v>
      </c>
    </row>
    <row r="93" customFormat="false" ht="18" hidden="false" customHeight="true" outlineLevel="0" collapsed="false">
      <c r="A93" s="15" t="s">
        <v>105</v>
      </c>
      <c r="B93" s="16" t="s">
        <v>120</v>
      </c>
      <c r="C93" s="17" t="n">
        <v>15</v>
      </c>
      <c r="D93" s="7" t="n">
        <v>100</v>
      </c>
      <c r="E93" s="7" t="n">
        <v>78</v>
      </c>
      <c r="F93" s="8" t="n">
        <v>100</v>
      </c>
      <c r="G93" s="8" t="n">
        <v>96</v>
      </c>
      <c r="H93" s="9" t="n">
        <v>100</v>
      </c>
      <c r="I93" s="9" t="n">
        <v>32</v>
      </c>
      <c r="J93" s="18" t="n">
        <v>100</v>
      </c>
      <c r="K93" s="18" t="n">
        <v>96</v>
      </c>
      <c r="L93" s="19" t="n">
        <v>100</v>
      </c>
      <c r="M93" s="19" t="n">
        <v>40</v>
      </c>
      <c r="N93" s="20" t="n">
        <v>100</v>
      </c>
      <c r="O93" s="20" t="n">
        <v>92</v>
      </c>
      <c r="P93" s="11" t="n">
        <v>600</v>
      </c>
      <c r="Q93" s="11" t="n">
        <f aca="false">E93+G93+I93+K93+M93+O93</f>
        <v>434</v>
      </c>
      <c r="R93" s="12" t="n">
        <f aca="false">ROUND(Q93/P93*100,2)</f>
        <v>72.33</v>
      </c>
      <c r="S93" s="13" t="str">
        <f aca="false">IF(R93&gt;=90,"A+",IF(R93&gt;=80,"A",IF(R93&gt;=70,"B+",IF(R93&gt;=60,"B",IF(R93&gt;=45,"C",IF(R93&gt;=33,"D","F"))))))</f>
        <v>B+</v>
      </c>
      <c r="T93" s="14" t="str">
        <f aca="false">IF(AND(E93&gt;=33,G93&gt;=33,I93&gt;=33,K93&gt;=33,M93&gt;=33,O93&gt;=33),"Pass","Fail")</f>
        <v>Fail</v>
      </c>
    </row>
  </sheetData>
  <mergeCells count="2">
    <mergeCell ref="A1:T1"/>
    <mergeCell ref="A2:T2"/>
  </mergeCells>
  <conditionalFormatting sqref="T4:T9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S4:S93">
    <cfRule type="cellIs" priority="4" operator="equal" aboveAverage="0" equalAverage="0" bottom="0" percent="0" rank="0" text="" dxfId="2">
      <formula>"A+"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2026-03-18T15:46:28Z</dcterms:created>
  <dc:creator>openpyxl</dc:creator>
  <dc:description/>
  <dc:language>en-US</dc:language>
  <cp:lastModifiedBy/>
  <dcterms:modified xsi:type="dcterms:W3CDTF">2026-03-18T15:46:28Z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