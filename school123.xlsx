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Result बिहार" sheetId="1" r:id="rId4"/>
  </sheets>
  <definedNames/>
  <calcPr/>
</workbook>
</file>

<file path=xl/sharedStrings.xml><?xml version="1.0" encoding="utf-8"?>
<sst xmlns="http://schemas.openxmlformats.org/spreadsheetml/2006/main" count="542" uniqueCount="258">
  <si>
    <t>उत्क्रमित मध्य विद्यालय, गढ़वा कटौना
प्रखंड - बरहट  |  जिला - जमुई, बिहार  |  कक्षा 1 से 8  |  सरकारी विद्यालय, बिहार सरकार</t>
  </si>
  <si>
    <t>📘 Class 1-2: Hindi, Math, English (FM 50 each)     📗 Class 3-5: Hindi, Math, English, EVS (FM 50 each)     📕 Class 6-8: Hindi, Math, English, Science, Soc.Sci, Sanskrit (FM 50 each)     ✦ अर्द्धवार्षिक (Sept) + वार्षिक (March) = वार्षिक परिणाम (FM 100 each)</t>
  </si>
  <si>
    <t>Grade Scale (Bihar):  A = 81-100%  |  B = 61-80%  |  C = 41-60%  |  D = 33-40%  |  E = 0-32% (Fail)</t>
  </si>
  <si>
    <t>छात्र विवरण</t>
  </si>
  <si>
    <t>अर्द्धवार्षिक मूल्यांकन — सितम्बर (FM: 50)</t>
  </si>
  <si>
    <t>वार्षिक मूल्यांकन — मार्च (FM: 50)</t>
  </si>
  <si>
    <t>वार्षिक परिणाम (FM: 100)</t>
  </si>
  <si>
    <t>Class</t>
  </si>
  <si>
    <t>छात्र का नाम</t>
  </si>
  <si>
    <t>पिता का नाम</t>
  </si>
  <si>
    <t>जन्म तिथि</t>
  </si>
  <si>
    <t>Roll
No.</t>
  </si>
  <si>
    <t>हिन्दी
(Obt)</t>
  </si>
  <si>
    <t>गणित
(Obt)</t>
  </si>
  <si>
    <t>अंग्रेजी
(Obt)</t>
  </si>
  <si>
    <t>संस्कृत / EVS
(Obt)</t>
  </si>
  <si>
    <t>सा॰विज्ञान
(Obt)</t>
  </si>
  <si>
    <t>विज्ञान
(Obt)</t>
  </si>
  <si>
    <t>कुल
(Sept)</t>
  </si>
  <si>
    <t>ग्रेड</t>
  </si>
  <si>
    <t>संस्कृत
(Obt)</t>
  </si>
  <si>
    <t>कुल
(Mar)</t>
  </si>
  <si>
    <t>वार्षिक
कुल</t>
  </si>
  <si>
    <t>प्रतिशत</t>
  </si>
  <si>
    <t>परिणाम</t>
  </si>
  <si>
    <t>▶  Class 1  —  7 Students</t>
  </si>
  <si>
    <t>Class 1</t>
  </si>
  <si>
    <t>Kajali Kumari</t>
  </si>
  <si>
    <t>Devendra Tiwari</t>
  </si>
  <si>
    <t>26-Nov-2018</t>
  </si>
  <si>
    <t>—</t>
  </si>
  <si>
    <t>Anushka Kumari</t>
  </si>
  <si>
    <t>Shambhu Tanti</t>
  </si>
  <si>
    <t>03-Aug-2018</t>
  </si>
  <si>
    <t>Kanhaiya Modi</t>
  </si>
  <si>
    <t>05-Feb-2018</t>
  </si>
  <si>
    <t>Chandani Kumari</t>
  </si>
  <si>
    <t>Niraj Singh</t>
  </si>
  <si>
    <t>07-Dec-2019</t>
  </si>
  <si>
    <t>Sunny Kumar</t>
  </si>
  <si>
    <t>Pintu Kumar</t>
  </si>
  <si>
    <t>01-Jan-2019</t>
  </si>
  <si>
    <t>Tanmay Kumar</t>
  </si>
  <si>
    <t>Sanjeev Kumar Tiwari</t>
  </si>
  <si>
    <t>05-Jan-2019</t>
  </si>
  <si>
    <t>Satyam Kumar</t>
  </si>
  <si>
    <t>03-Jun-2020</t>
  </si>
  <si>
    <t>▶  Class 2  —  6 Students</t>
  </si>
  <si>
    <t>Class 2</t>
  </si>
  <si>
    <t>Shivam Kumar</t>
  </si>
  <si>
    <t>Manohar Tanti</t>
  </si>
  <si>
    <t>04-Mar-2017</t>
  </si>
  <si>
    <t>Anmol Kumar</t>
  </si>
  <si>
    <t>Onkar Kumar Das</t>
  </si>
  <si>
    <t>12-Nov-2017</t>
  </si>
  <si>
    <t>Raj Pritam Kumar</t>
  </si>
  <si>
    <t>Babalu Tanti</t>
  </si>
  <si>
    <t>11-Aug-2018</t>
  </si>
  <si>
    <t>Suraj Kumar Singh</t>
  </si>
  <si>
    <t>25-Jun-2017</t>
  </si>
  <si>
    <t>Stuti Sikandar</t>
  </si>
  <si>
    <t>Sikandar Kumar Das</t>
  </si>
  <si>
    <t>25-Feb-2017</t>
  </si>
  <si>
    <t>Harsh Kumar</t>
  </si>
  <si>
    <t>Chandan Das</t>
  </si>
  <si>
    <t>04-Dec-2017</t>
  </si>
  <si>
    <t>▶  Class 3  —  5 Students</t>
  </si>
  <si>
    <t>Class 3</t>
  </si>
  <si>
    <t>Prasant Kumar Tiwari</t>
  </si>
  <si>
    <t>Rakesh Tiwari</t>
  </si>
  <si>
    <t>14-Oct-2016</t>
  </si>
  <si>
    <t>Piyush Kumar</t>
  </si>
  <si>
    <t>Parmeshwar Kumar</t>
  </si>
  <si>
    <t>10-Jan-2016</t>
  </si>
  <si>
    <t>Supriya Bharti</t>
  </si>
  <si>
    <t>Krishna Kumar Das</t>
  </si>
  <si>
    <t>02-Feb-2017</t>
  </si>
  <si>
    <t>Akash Raj</t>
  </si>
  <si>
    <t>Sudhir Kumar Das</t>
  </si>
  <si>
    <t>13-Jun-2017</t>
  </si>
  <si>
    <t>Kiran Kumari</t>
  </si>
  <si>
    <t>20-Jun-2016</t>
  </si>
  <si>
    <t>▶  Class 4  —  10 Students</t>
  </si>
  <si>
    <t>Class 4</t>
  </si>
  <si>
    <t>Shambhavi Kumari</t>
  </si>
  <si>
    <t>Arvind Kumar Singh</t>
  </si>
  <si>
    <t>22-Jun-2019</t>
  </si>
  <si>
    <t>Riddhi Kumari</t>
  </si>
  <si>
    <t>Vikash Kumar Singh</t>
  </si>
  <si>
    <t>28-Sep-2016</t>
  </si>
  <si>
    <t>Siddhi Kumari</t>
  </si>
  <si>
    <t>Ranvir Kumar</t>
  </si>
  <si>
    <t>Chandan Modi</t>
  </si>
  <si>
    <t>02-May-2016</t>
  </si>
  <si>
    <t>Priti Kumari</t>
  </si>
  <si>
    <t>Kapildev Das</t>
  </si>
  <si>
    <t>13-Jun-2015</t>
  </si>
  <si>
    <t>Priyanshu Kumar</t>
  </si>
  <si>
    <t>Amit Tiwari</t>
  </si>
  <si>
    <t>02-Oct-2016</t>
  </si>
  <si>
    <t>Sumit Kumar</t>
  </si>
  <si>
    <t>Chuhan Tanti</t>
  </si>
  <si>
    <t>15-Oct-2016</t>
  </si>
  <si>
    <t>Ankit Kumar</t>
  </si>
  <si>
    <t>Krishna Tanti</t>
  </si>
  <si>
    <t>01-Jan-2016</t>
  </si>
  <si>
    <t>Anshika Kumari</t>
  </si>
  <si>
    <t>Avadhesh Dubey</t>
  </si>
  <si>
    <t>11-Oct-2015</t>
  </si>
  <si>
    <t>Chintu Kumar</t>
  </si>
  <si>
    <t>Babu Lal Ravidas</t>
  </si>
  <si>
    <t>14-Jan-2012</t>
  </si>
  <si>
    <t>▶  Class 5  —  8 Students</t>
  </si>
  <si>
    <t>Class 5</t>
  </si>
  <si>
    <t>Amardeep Kumar</t>
  </si>
  <si>
    <t>15-Sep-2015</t>
  </si>
  <si>
    <t>Devraj Kumar Tiwari</t>
  </si>
  <si>
    <t>Rajeev Kumar Tiwari</t>
  </si>
  <si>
    <t>10-Jul-2015</t>
  </si>
  <si>
    <t>Anshu Kumar</t>
  </si>
  <si>
    <t>Manoj Ravidas</t>
  </si>
  <si>
    <t>27-Jun-2014</t>
  </si>
  <si>
    <t>Sabita Kumari</t>
  </si>
  <si>
    <t>28-Mar-2015</t>
  </si>
  <si>
    <t>Sonu Kumar Tiwari</t>
  </si>
  <si>
    <t>Anjani Tiwari</t>
  </si>
  <si>
    <t>20-Jun-2015</t>
  </si>
  <si>
    <t>12-Apr-2015</t>
  </si>
  <si>
    <t>Amit Kumar</t>
  </si>
  <si>
    <t>10-Aug-2015</t>
  </si>
  <si>
    <t>Sapna Kumari</t>
  </si>
  <si>
    <t>12-Sep-2015</t>
  </si>
  <si>
    <t>▶  Class 6  —  17 Students</t>
  </si>
  <si>
    <t>Class 6</t>
  </si>
  <si>
    <t>Ayushi Kumari</t>
  </si>
  <si>
    <t>Prakash Kumar Singh</t>
  </si>
  <si>
    <t>26-Apr-2014</t>
  </si>
  <si>
    <t>Santanu Kumar Tiwari</t>
  </si>
  <si>
    <t>20-Jun-2013</t>
  </si>
  <si>
    <t>Balram Kumar Tiwari</t>
  </si>
  <si>
    <t>21-Jun-2013</t>
  </si>
  <si>
    <t>Jyoti Kumari</t>
  </si>
  <si>
    <t>28-Aug-2013</t>
  </si>
  <si>
    <t>Parmeshwar Das</t>
  </si>
  <si>
    <t>13-Oct-2013</t>
  </si>
  <si>
    <t>Gopi Kumar</t>
  </si>
  <si>
    <t>Bacchu Tanti</t>
  </si>
  <si>
    <t>20-Aug-2013</t>
  </si>
  <si>
    <t>Savitri Kumari</t>
  </si>
  <si>
    <t>Sambhu Tanti</t>
  </si>
  <si>
    <t>25-Aug-2013</t>
  </si>
  <si>
    <t>Dharamraj Kumar</t>
  </si>
  <si>
    <t>Banavari Manjhi</t>
  </si>
  <si>
    <t>09-Feb-2013</t>
  </si>
  <si>
    <t>Rishi Raj</t>
  </si>
  <si>
    <t>Priy Ranjan Singh</t>
  </si>
  <si>
    <t>27-Jul-2014</t>
  </si>
  <si>
    <t>Abhinash Kumar</t>
  </si>
  <si>
    <t>Ajit Rawat</t>
  </si>
  <si>
    <t>02-Aug-2014</t>
  </si>
  <si>
    <t>Raj Kumar</t>
  </si>
  <si>
    <t>Jitendra Rawat</t>
  </si>
  <si>
    <t>05-Jun-2013</t>
  </si>
  <si>
    <t>Kanhaiya Kumar</t>
  </si>
  <si>
    <t>Ramkhailawan Tanti</t>
  </si>
  <si>
    <t>18-Aug-2014</t>
  </si>
  <si>
    <t>Rani Kumari</t>
  </si>
  <si>
    <t>Ramchandra Rawat</t>
  </si>
  <si>
    <t>20-Jun-2014</t>
  </si>
  <si>
    <t>Krishama Kumari</t>
  </si>
  <si>
    <t>Mannu Rawat</t>
  </si>
  <si>
    <t>01-Sep-2013</t>
  </si>
  <si>
    <t>Shilpa Kumari</t>
  </si>
  <si>
    <t>Papapu Tanti</t>
  </si>
  <si>
    <t>28-Nov-2013</t>
  </si>
  <si>
    <t>Rubal Raj Singh</t>
  </si>
  <si>
    <t>Ranjay Kumar</t>
  </si>
  <si>
    <t>14-Sep-2013</t>
  </si>
  <si>
    <t>Saniya Mirja</t>
  </si>
  <si>
    <t>Surendra Tanti</t>
  </si>
  <si>
    <t>05-Dec-2014</t>
  </si>
  <si>
    <t>▶  Class 7  —  15 Students</t>
  </si>
  <si>
    <t>Class 7</t>
  </si>
  <si>
    <t>Mosam Kumari</t>
  </si>
  <si>
    <t>Mukesh Das</t>
  </si>
  <si>
    <t>30-Oct-2010</t>
  </si>
  <si>
    <t>Gautam Rawat</t>
  </si>
  <si>
    <t>20-Apr-2013</t>
  </si>
  <si>
    <t>Naresh Dubey</t>
  </si>
  <si>
    <t>15-Jun-2013</t>
  </si>
  <si>
    <t>Aakarshak Kumar</t>
  </si>
  <si>
    <t>Sudhir Kumar Singh</t>
  </si>
  <si>
    <t>01-Jan-2012</t>
  </si>
  <si>
    <t>Sonam Kumari</t>
  </si>
  <si>
    <t>Sunil Rawat</t>
  </si>
  <si>
    <t>02-Feb-2013</t>
  </si>
  <si>
    <t>Karan Kumar</t>
  </si>
  <si>
    <t>Krishna Kumar Ravidas</t>
  </si>
  <si>
    <t>06-Sep-2013</t>
  </si>
  <si>
    <t>Rohit Kumar</t>
  </si>
  <si>
    <t>23-Nov-2013</t>
  </si>
  <si>
    <t>Ritika Kumari</t>
  </si>
  <si>
    <t>Bajrangi Rawat</t>
  </si>
  <si>
    <t>31-Dec-2012</t>
  </si>
  <si>
    <t>Pari Kumari</t>
  </si>
  <si>
    <t>15-Nov-2013</t>
  </si>
  <si>
    <t>Chunnu Kumar</t>
  </si>
  <si>
    <t>Prince Kumar Tiwari</t>
  </si>
  <si>
    <t>Tinku Tiwari</t>
  </si>
  <si>
    <t>10-Aug-2013</t>
  </si>
  <si>
    <t>Gaurav Kumar</t>
  </si>
  <si>
    <t>Pankaj Rawat</t>
  </si>
  <si>
    <t>28-Dec-2012</t>
  </si>
  <si>
    <t>Mohit Kumar</t>
  </si>
  <si>
    <t>Dharmendra Rawat</t>
  </si>
  <si>
    <t>19-Oct-2014</t>
  </si>
  <si>
    <t>Mousam Kumari</t>
  </si>
  <si>
    <t>Vijay Rawat</t>
  </si>
  <si>
    <t>14-Mar-2013</t>
  </si>
  <si>
    <t>Suraj Kumar</t>
  </si>
  <si>
    <t>Ravindar Kumar Tiwari</t>
  </si>
  <si>
    <t>05-May-2013</t>
  </si>
  <si>
    <t>▶  Class 8  —  15 Students</t>
  </si>
  <si>
    <t>Class 8</t>
  </si>
  <si>
    <t>Aarohi Singh</t>
  </si>
  <si>
    <t>Nandan Kumar Singh</t>
  </si>
  <si>
    <t>08-Feb-2012</t>
  </si>
  <si>
    <t>Manasi Kumari</t>
  </si>
  <si>
    <t>Praveen Kumar Singh</t>
  </si>
  <si>
    <t>01-Jan-2011</t>
  </si>
  <si>
    <t>Ritu Kumari</t>
  </si>
  <si>
    <t>16-Jun-2011</t>
  </si>
  <si>
    <t>Etawari Tanti</t>
  </si>
  <si>
    <t>03-Jan-2013</t>
  </si>
  <si>
    <t>Varsha Kumari</t>
  </si>
  <si>
    <t>06-Jan-2012</t>
  </si>
  <si>
    <t>Adity Gaurav</t>
  </si>
  <si>
    <t>Manish Tiwari</t>
  </si>
  <si>
    <t>31-Jul-2013</t>
  </si>
  <si>
    <t>Abhishek Kumar</t>
  </si>
  <si>
    <t>Ramchandar Rawat</t>
  </si>
  <si>
    <t>10-Aug-2012</t>
  </si>
  <si>
    <t>Shivani Kumari</t>
  </si>
  <si>
    <t>Ramchandra Tanti</t>
  </si>
  <si>
    <t>Subham Raj</t>
  </si>
  <si>
    <t>Dilip Ravidas</t>
  </si>
  <si>
    <t>30-Sep-2012</t>
  </si>
  <si>
    <t>13-Aug-2011</t>
  </si>
  <si>
    <t>Mukesh Rawat</t>
  </si>
  <si>
    <t>04-Aug-2012</t>
  </si>
  <si>
    <t>Laxami Kumari</t>
  </si>
  <si>
    <t>Manu Rawat</t>
  </si>
  <si>
    <t>27-Oct-2011</t>
  </si>
  <si>
    <t>Ritesh Kumar</t>
  </si>
  <si>
    <t>05-Apr-2013</t>
  </si>
  <si>
    <t>Abhijit Kumar</t>
  </si>
  <si>
    <t>Manohar Das</t>
  </si>
  <si>
    <t>15-May-2013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</si>
</sst>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\%"/>
  </numFmts>
  <fonts count="11">
    <font>
      <sz val="11.0"/>
      <color/>
      <name val="Arial"/>
      <scheme val="minor"/>
    </font>
    <font>
      <b/>
      <sz val="13.0"/>
      <color rgb="FFFFFFFF"/>
      <name val="Arial"/>
    </font>
    <font/>
    <font>
      <sz val="9.0"/>
      <color rgb="FF333333"/>
      <name val="Arial"/>
    </font>
    <font>
      <b/>
      <sz val="9.0"/>
      <color rgb="FFFFFFFF"/>
      <name val="Arial"/>
    </font>
    <font>
      <sz val="11.0"/>
      <color/>
      <name val="Calibri"/>
    </font>
    <font>
      <b/>
      <sz val="8.0"/>
      <color rgb="FFFFFFFF"/>
      <name val="Arial"/>
    </font>
    <font>
      <b/>
      <sz val="10.0"/>
      <color rgb="FFFFFFFF"/>
      <name val="Arial"/>
    </font>
    <font>
      <sz val="8.0"/>
      <color rgb="FF000000"/>
      <name val="Arial"/>
    </font>
    <font>
      <b/>
      <sz val="9.0"/>
      <color rgb="FF757575"/>
      <name val="Arial"/>
    </font>
    <font>
      <b/>
      <sz val="9.0"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  <fill>
      <patternFill patternType="solid">
        <fgColor rgb="FFFFF9C4"/>
        <bgColor rgb="FFFFF9C4"/>
      </patternFill>
    </fill>
    <fill>
      <patternFill patternType="solid">
        <fgColor rgb="FF1B5E20"/>
        <bgColor rgb="FF1B5E20"/>
      </patternFill>
    </fill>
    <fill>
      <patternFill patternType="solid">
        <fgColor rgb="FF3949AB"/>
        <bgColor rgb="FF3949AB"/>
      </patternFill>
    </fill>
    <fill>
      <patternFill patternType="solid">
        <fgColor rgb="FF2E7D32"/>
        <bgColor rgb="FF2E7D32"/>
      </patternFill>
    </fill>
    <fill>
      <patternFill patternType="solid">
        <fgColor rgb="FFE65100"/>
        <bgColor rgb="FFE65100"/>
      </patternFill>
    </fill>
    <fill>
      <patternFill patternType="solid">
        <fgColor rgb="FFFF6B00"/>
        <bgColor rgb="FFFF6B00"/>
      </patternFill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BDBDBD"/>
        <bgColor rgb="FFBDBDBD"/>
      </patternFill>
    </fill>
    <fill>
      <patternFill patternType="solid">
        <fgColor rgb="FFC5CAE9"/>
        <bgColor rgb="FFC5CAE9"/>
      </patternFill>
    </fill>
    <fill>
      <patternFill patternType="solid">
        <fgColor rgb="FFA5D6A7"/>
        <bgColor rgb="FFA5D6A7"/>
      </patternFill>
    </fill>
    <fill>
      <patternFill patternType="solid">
        <fgColor rgb="FFF5F5F5"/>
        <bgColor rgb="FFF5F5F5"/>
      </patternFill>
    </fill>
    <fill>
      <patternFill patternType="solid">
        <fgColor rgb="FFE8EAF6"/>
        <bgColor rgb="FFE8EAF6"/>
      </patternFill>
    </fill>
    <fill>
      <patternFill patternType="solid">
        <fgColor rgb="FFEEF2FF"/>
        <bgColor rgb="FFEEF2FF"/>
      </patternFill>
    </fill>
    <fill>
      <patternFill patternType="solid">
        <fgColor rgb="FFE8F5E9"/>
        <bgColor rgb="FFE8F5E9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5" fontId="4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7" fillId="2" fontId="6" numFmtId="0" xfId="0" applyAlignment="1" applyBorder="1" applyFont="1">
      <alignment horizontal="center" shrinkToFit="0" vertical="center" wrapText="1"/>
    </xf>
    <xf borderId="7" fillId="2" fontId="6" numFmtId="0" xfId="0" applyAlignment="1" applyBorder="1" applyFont="1">
      <alignment horizontal="center" readingOrder="0" shrinkToFit="0" vertical="center" wrapText="1"/>
    </xf>
    <xf borderId="1" fillId="8" fontId="7" numFmtId="0" xfId="0" applyAlignment="1" applyBorder="1" applyFill="1" applyFont="1">
      <alignment horizontal="left" shrinkToFit="0" vertical="center" wrapText="0"/>
    </xf>
    <xf borderId="7" fillId="9" fontId="8" numFmtId="0" xfId="0" applyAlignment="1" applyBorder="1" applyFill="1" applyFont="1">
      <alignment horizontal="center" shrinkToFit="0" vertical="center" wrapText="0"/>
    </xf>
    <xf borderId="7" fillId="9" fontId="8" numFmtId="0" xfId="0" applyAlignment="1" applyBorder="1" applyFont="1">
      <alignment horizontal="left" shrinkToFit="0" vertical="center" wrapText="0"/>
    </xf>
    <xf borderId="7" fillId="10" fontId="8" numFmtId="0" xfId="0" applyAlignment="1" applyBorder="1" applyFill="1" applyFont="1">
      <alignment horizontal="center" shrinkToFit="0" vertical="center" wrapText="0"/>
    </xf>
    <xf borderId="7" fillId="11" fontId="9" numFmtId="0" xfId="0" applyAlignment="1" applyBorder="1" applyFill="1" applyFont="1">
      <alignment horizontal="center" shrinkToFit="0" vertical="center" wrapText="0"/>
    </xf>
    <xf borderId="7" fillId="12" fontId="10" numFmtId="0" xfId="0" applyAlignment="1" applyBorder="1" applyFill="1" applyFont="1">
      <alignment horizontal="center" shrinkToFit="0" vertical="center" wrapText="0"/>
    </xf>
    <xf borderId="7" fillId="13" fontId="10" numFmtId="0" xfId="0" applyAlignment="1" applyBorder="1" applyFill="1" applyFont="1">
      <alignment horizontal="center" shrinkToFit="0" vertical="center" wrapText="0"/>
    </xf>
    <xf borderId="7" fillId="3" fontId="10" numFmtId="0" xfId="0" applyAlignment="1" applyBorder="1" applyFont="1">
      <alignment horizontal="center" shrinkToFit="0" vertical="center" wrapText="0"/>
    </xf>
    <xf borderId="7" fillId="3" fontId="10" numFmtId="164" xfId="0" applyAlignment="1" applyBorder="1" applyFont="1" applyNumberFormat="1">
      <alignment horizontal="center" shrinkToFit="0" vertical="center" wrapText="0"/>
    </xf>
    <xf borderId="7" fillId="14" fontId="8" numFmtId="0" xfId="0" applyAlignment="1" applyBorder="1" applyFill="1" applyFont="1">
      <alignment horizontal="center" shrinkToFit="0" vertical="center" wrapText="0"/>
    </xf>
    <xf borderId="7" fillId="14" fontId="8" numFmtId="0" xfId="0" applyAlignment="1" applyBorder="1" applyFont="1">
      <alignment horizontal="left" shrinkToFit="0" vertical="center" wrapText="0"/>
    </xf>
    <xf borderId="8" fillId="15" fontId="5" numFmtId="0" xfId="0" applyAlignment="1" applyBorder="1" applyFill="1" applyFont="1">
      <alignment shrinkToFit="0" vertical="bottom" wrapText="0"/>
    </xf>
    <xf borderId="7" fillId="16" fontId="8" numFmtId="0" xfId="0" applyAlignment="1" applyBorder="1" applyFill="1" applyFont="1">
      <alignment horizontal="center" shrinkToFit="0" vertical="center" wrapText="0"/>
    </xf>
    <xf borderId="7" fillId="17" fontId="8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5.0" topLeftCell="F6" activePane="bottomRight" state="frozen"/>
      <selection activeCell="F1" sqref="F1" pane="topRight"/>
      <selection activeCell="A6" sqref="A6" pane="bottomLeft"/>
      <selection activeCell="F6" sqref="F6" pane="bottomRigh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20.0"/>
    <col customWidth="1" min="4" max="4" width="11.0"/>
    <col customWidth="1" min="5" max="5" width="6.0"/>
    <col customWidth="1" min="6" max="12" width="8.0"/>
    <col customWidth="1" min="13" max="13" width="7.0"/>
    <col customWidth="1" min="14" max="20" width="8.0"/>
    <col customWidth="1" min="21" max="21" width="7.0"/>
    <col customWidth="1" min="22" max="22" width="9.0"/>
    <col customWidth="1" min="23" max="23" width="10.0"/>
    <col customWidth="1" min="24" max="24" width="7.0"/>
    <col customWidth="1" min="25" max="25" width="8.0"/>
    <col customWidth="1" min="26" max="28" width="8.71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</row>
    <row r="2" ht="30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</row>
    <row r="3" ht="19.5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</row>
    <row r="4" ht="27.75" customHeight="1">
      <c r="A4" s="6" t="s">
        <v>3</v>
      </c>
      <c r="B4" s="7"/>
      <c r="C4" s="7"/>
      <c r="D4" s="7"/>
      <c r="E4" s="8"/>
      <c r="F4" s="9" t="s">
        <v>4</v>
      </c>
      <c r="G4" s="7"/>
      <c r="H4" s="7"/>
      <c r="I4" s="7"/>
      <c r="J4" s="7"/>
      <c r="K4" s="7"/>
      <c r="L4" s="7"/>
      <c r="M4" s="8"/>
      <c r="N4" s="10" t="s">
        <v>5</v>
      </c>
      <c r="O4" s="7"/>
      <c r="P4" s="7"/>
      <c r="Q4" s="7"/>
      <c r="R4" s="7"/>
      <c r="S4" s="7"/>
      <c r="T4" s="7"/>
      <c r="U4" s="8"/>
      <c r="V4" s="11" t="s">
        <v>6</v>
      </c>
      <c r="W4" s="7"/>
      <c r="X4" s="7"/>
      <c r="Y4" s="8"/>
      <c r="Z4" s="12"/>
      <c r="AA4" s="12"/>
      <c r="AB4" s="12"/>
    </row>
    <row r="5" ht="33.75" customHeight="1">
      <c r="A5" s="13" t="s">
        <v>7</v>
      </c>
      <c r="B5" s="13" t="s">
        <v>8</v>
      </c>
      <c r="C5" s="13" t="s">
        <v>9</v>
      </c>
      <c r="D5" s="13" t="s">
        <v>10</v>
      </c>
      <c r="E5" s="13" t="s">
        <v>11</v>
      </c>
      <c r="F5" s="13" t="s">
        <v>12</v>
      </c>
      <c r="G5" s="13" t="s">
        <v>13</v>
      </c>
      <c r="H5" s="13" t="s">
        <v>14</v>
      </c>
      <c r="I5" s="14" t="s">
        <v>15</v>
      </c>
      <c r="J5" s="13" t="s">
        <v>16</v>
      </c>
      <c r="K5" s="13" t="s">
        <v>17</v>
      </c>
      <c r="L5" s="13" t="s">
        <v>18</v>
      </c>
      <c r="M5" s="13" t="s">
        <v>19</v>
      </c>
      <c r="N5" s="13" t="s">
        <v>12</v>
      </c>
      <c r="O5" s="13" t="s">
        <v>13</v>
      </c>
      <c r="P5" s="13" t="s">
        <v>14</v>
      </c>
      <c r="Q5" s="13" t="s">
        <v>20</v>
      </c>
      <c r="R5" s="13" t="s">
        <v>16</v>
      </c>
      <c r="S5" s="13" t="s">
        <v>17</v>
      </c>
      <c r="T5" s="13" t="s">
        <v>21</v>
      </c>
      <c r="U5" s="13" t="s">
        <v>19</v>
      </c>
      <c r="V5" s="13" t="s">
        <v>22</v>
      </c>
      <c r="W5" s="13" t="s">
        <v>23</v>
      </c>
      <c r="X5" s="13" t="s">
        <v>19</v>
      </c>
      <c r="Y5" s="13" t="s">
        <v>24</v>
      </c>
      <c r="Z5" s="12"/>
      <c r="AA5" s="12"/>
      <c r="AB5" s="12"/>
    </row>
    <row r="6" ht="19.5" customHeight="1">
      <c r="A6" s="15" t="s">
        <v>25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3"/>
      <c r="Z6" s="12"/>
      <c r="AA6" s="12"/>
      <c r="AB6" s="12"/>
    </row>
    <row r="7" ht="15.75" customHeight="1">
      <c r="A7" s="16" t="s">
        <v>26</v>
      </c>
      <c r="B7" s="17" t="s">
        <v>27</v>
      </c>
      <c r="C7" s="17" t="s">
        <v>28</v>
      </c>
      <c r="D7" s="16" t="s">
        <v>29</v>
      </c>
      <c r="E7" s="16">
        <v>1.0</v>
      </c>
      <c r="F7" s="18">
        <v>36.0</v>
      </c>
      <c r="G7" s="18">
        <v>37.0</v>
      </c>
      <c r="H7" s="18">
        <v>30.0</v>
      </c>
      <c r="I7" s="19" t="s">
        <v>30</v>
      </c>
      <c r="J7" s="19" t="s">
        <v>30</v>
      </c>
      <c r="K7" s="19" t="s">
        <v>30</v>
      </c>
      <c r="L7" s="20" t="str">
        <f t="shared" ref="L7:L13" si="1">IF(OR(A7="Class 1",A7="Class 2"),SUM(F7:H7),IF(OR(A7="Class 3",A7="Class 4",A7="Class 5"),SUM(F7:I7),SUM(F7:K7)))</f>
        <v>103</v>
      </c>
      <c r="M7" s="20" t="str">
        <f t="shared" ref="M7:M13" si="2">IF(L7="","",IF(L7/(IF(OR(A7="Class 1",A7="Class 2"),150,IF(OR(A7="Class 3",A7="Class 4",A7="Class 5"),200,300)))*100&gt;=81,"A",IF(L7/(IF(OR(A7="Class 1",A7="Class 2"),150,IF(OR(A7="Class 3",A7="Class 4",A7="Class 5"),200,300)))*100&gt;=61,"B",IF(L7/(IF(OR(A7="Class 1",A7="Class 2"),150,IF(OR(A7="Class 3",A7="Class 4",A7="Class 5"),200,300)))*100&gt;=41,"C",IF(L7/(IF(OR(A7="Class 1",A7="Class 2"),150,IF(OR(A7="Class 3",A7="Class 4",A7="Class 5"),200,300)))*100&gt;=33,"D","E")))))</f>
        <v>B</v>
      </c>
      <c r="N7" s="18">
        <v>35.0</v>
      </c>
      <c r="O7" s="18">
        <v>35.0</v>
      </c>
      <c r="P7" s="18">
        <v>32.0</v>
      </c>
      <c r="Q7" s="19" t="s">
        <v>30</v>
      </c>
      <c r="R7" s="19" t="s">
        <v>30</v>
      </c>
      <c r="S7" s="19" t="s">
        <v>30</v>
      </c>
      <c r="T7" s="21" t="str">
        <f t="shared" ref="T7:T13" si="3">IF(OR(A7="Class 1",A7="Class 2"),SUM(N7:P7),IF(OR(A7="Class 3",A7="Class 4",A7="Class 5"),SUM(N7:Q7),SUM(N7:S7)))</f>
        <v>102</v>
      </c>
      <c r="U7" s="21" t="str">
        <f t="shared" ref="U7:U13" si="4">IF(T7="","",IF(T7/(IF(OR(A7="Class 1",A7="Class 2"),150,IF(OR(A7="Class 3",A7="Class 4",A7="Class 5"),200,300)))*100&gt;=81,"A",IF(T7/(IF(OR(A7="Class 1",A7="Class 2"),150,IF(OR(A7="Class 3",A7="Class 4",A7="Class 5"),200,300)))*100&gt;=61,"B",IF(T7/(IF(OR(A7="Class 1",A7="Class 2"),150,IF(OR(A7="Class 3",A7="Class 4",A7="Class 5"),200,300)))*100&gt;=41,"C",IF(T7/(IF(OR(A7="Class 1",A7="Class 2"),150,IF(OR(A7="Class 3",A7="Class 4",A7="Class 5"),200,300)))*100&gt;=33,"D","E")))))</f>
        <v>B</v>
      </c>
      <c r="V7" s="22" t="str">
        <f t="shared" ref="V7:V13" si="5">IF(AND(L7&lt;&gt;"",T7&lt;&gt;""),L7+T7,"")</f>
        <v>205</v>
      </c>
      <c r="W7" s="23" t="str">
        <f t="shared" ref="W7:W13" si="6">IF(V7="","",ROUND(V7/(IF(OR(A7="Class 1",A7="Class 2"),150,IF(OR(A7="Class 3",A7="Class 4",A7="Class 5"),200,300))*2)*100,2))</f>
        <v>68.33%</v>
      </c>
      <c r="X7" s="22" t="str">
        <f t="shared" ref="X7:X13" si="7">IF(W7="","",IF(W7&gt;=81,"A",IF(W7&gt;=61,"B",IF(W7&gt;=41,"C",IF(W7&gt;=33,"D","E")))))</f>
        <v>B</v>
      </c>
      <c r="Y7" s="22" t="str">
        <f t="shared" ref="Y7:Y13" si="8">IF(W7="","",IF(W7&lt;33,"Fail",IF(IF(OR(A7="Class 1",A7="Class 2"),MIN(F7+N7,G7+O7,H7+P7),IF(OR(A7="Class 3",A7="Class 4",A7="Class 5"),MIN(F7+N7,G7+O7,H7+P7,I7+Q7),MIN(F7+N7,G7+O7,H7+P7,I7+Q7,J7+R7,K7+S7)))&lt;17,"Fail","Pass")))</f>
        <v>Pass</v>
      </c>
      <c r="Z7" s="12"/>
      <c r="AA7" s="12"/>
      <c r="AB7" s="12"/>
    </row>
    <row r="8" ht="15.75" customHeight="1">
      <c r="A8" s="24" t="s">
        <v>26</v>
      </c>
      <c r="B8" s="25" t="s">
        <v>31</v>
      </c>
      <c r="C8" s="25" t="s">
        <v>32</v>
      </c>
      <c r="D8" s="24" t="s">
        <v>33</v>
      </c>
      <c r="E8" s="24">
        <v>2.0</v>
      </c>
      <c r="F8" s="18">
        <v>43.0</v>
      </c>
      <c r="G8" s="18">
        <v>43.0</v>
      </c>
      <c r="H8" s="18">
        <v>39.0</v>
      </c>
      <c r="I8" s="19" t="s">
        <v>30</v>
      </c>
      <c r="J8" s="19" t="s">
        <v>30</v>
      </c>
      <c r="K8" s="19" t="s">
        <v>30</v>
      </c>
      <c r="L8" s="20" t="str">
        <f t="shared" si="1"/>
        <v>125</v>
      </c>
      <c r="M8" s="20" t="str">
        <f t="shared" si="2"/>
        <v>A</v>
      </c>
      <c r="N8" s="18">
        <v>45.0</v>
      </c>
      <c r="O8" s="18">
        <v>46.0</v>
      </c>
      <c r="P8" s="18">
        <v>40.0</v>
      </c>
      <c r="Q8" s="19" t="s">
        <v>30</v>
      </c>
      <c r="R8" s="19" t="s">
        <v>30</v>
      </c>
      <c r="S8" s="19" t="s">
        <v>30</v>
      </c>
      <c r="T8" s="21" t="str">
        <f t="shared" si="3"/>
        <v>131</v>
      </c>
      <c r="U8" s="21" t="str">
        <f t="shared" si="4"/>
        <v>A</v>
      </c>
      <c r="V8" s="22" t="str">
        <f t="shared" si="5"/>
        <v>256</v>
      </c>
      <c r="W8" s="23" t="str">
        <f t="shared" si="6"/>
        <v>85.33%</v>
      </c>
      <c r="X8" s="22" t="str">
        <f t="shared" si="7"/>
        <v>A</v>
      </c>
      <c r="Y8" s="22" t="str">
        <f t="shared" si="8"/>
        <v>Pass</v>
      </c>
      <c r="Z8" s="12"/>
      <c r="AA8" s="12"/>
      <c r="AB8" s="12"/>
    </row>
    <row r="9" ht="15.75" customHeight="1">
      <c r="A9" s="16" t="s">
        <v>26</v>
      </c>
      <c r="B9" s="17" t="s">
        <v>31</v>
      </c>
      <c r="C9" s="17" t="s">
        <v>34</v>
      </c>
      <c r="D9" s="16" t="s">
        <v>35</v>
      </c>
      <c r="E9" s="16">
        <v>3.0</v>
      </c>
      <c r="F9" s="18">
        <v>41.0</v>
      </c>
      <c r="G9" s="18">
        <v>42.0</v>
      </c>
      <c r="H9" s="18">
        <v>38.0</v>
      </c>
      <c r="I9" s="19" t="s">
        <v>30</v>
      </c>
      <c r="J9" s="19" t="s">
        <v>30</v>
      </c>
      <c r="K9" s="19" t="s">
        <v>30</v>
      </c>
      <c r="L9" s="20" t="str">
        <f t="shared" si="1"/>
        <v>121</v>
      </c>
      <c r="M9" s="20" t="str">
        <f t="shared" si="2"/>
        <v>B</v>
      </c>
      <c r="N9" s="18">
        <v>40.0</v>
      </c>
      <c r="O9" s="18">
        <v>46.0</v>
      </c>
      <c r="P9" s="18">
        <v>40.0</v>
      </c>
      <c r="Q9" s="19" t="s">
        <v>30</v>
      </c>
      <c r="R9" s="19" t="s">
        <v>30</v>
      </c>
      <c r="S9" s="19" t="s">
        <v>30</v>
      </c>
      <c r="T9" s="21" t="str">
        <f t="shared" si="3"/>
        <v>126</v>
      </c>
      <c r="U9" s="21" t="str">
        <f t="shared" si="4"/>
        <v>A</v>
      </c>
      <c r="V9" s="22" t="str">
        <f t="shared" si="5"/>
        <v>247</v>
      </c>
      <c r="W9" s="23" t="str">
        <f t="shared" si="6"/>
        <v>82.33%</v>
      </c>
      <c r="X9" s="22" t="str">
        <f t="shared" si="7"/>
        <v>A</v>
      </c>
      <c r="Y9" s="22" t="str">
        <f t="shared" si="8"/>
        <v>Pass</v>
      </c>
      <c r="Z9" s="12"/>
      <c r="AA9" s="12"/>
      <c r="AB9" s="12"/>
    </row>
    <row r="10" ht="15.75" customHeight="1">
      <c r="A10" s="24" t="s">
        <v>26</v>
      </c>
      <c r="B10" s="25" t="s">
        <v>36</v>
      </c>
      <c r="C10" s="25" t="s">
        <v>37</v>
      </c>
      <c r="D10" s="24" t="s">
        <v>38</v>
      </c>
      <c r="E10" s="24">
        <v>4.0</v>
      </c>
      <c r="F10" s="18">
        <v>38.0</v>
      </c>
      <c r="G10" s="18">
        <v>41.0</v>
      </c>
      <c r="H10" s="18">
        <v>36.0</v>
      </c>
      <c r="I10" s="19" t="s">
        <v>30</v>
      </c>
      <c r="J10" s="19" t="s">
        <v>30</v>
      </c>
      <c r="K10" s="19" t="s">
        <v>30</v>
      </c>
      <c r="L10" s="20" t="str">
        <f t="shared" si="1"/>
        <v>115</v>
      </c>
      <c r="M10" s="20" t="str">
        <f t="shared" si="2"/>
        <v>B</v>
      </c>
      <c r="N10" s="18">
        <v>40.0</v>
      </c>
      <c r="O10" s="18">
        <v>40.0</v>
      </c>
      <c r="P10" s="18">
        <v>41.0</v>
      </c>
      <c r="Q10" s="19" t="s">
        <v>30</v>
      </c>
      <c r="R10" s="19" t="s">
        <v>30</v>
      </c>
      <c r="S10" s="19" t="s">
        <v>30</v>
      </c>
      <c r="T10" s="21" t="str">
        <f t="shared" si="3"/>
        <v>121</v>
      </c>
      <c r="U10" s="21" t="str">
        <f t="shared" si="4"/>
        <v>B</v>
      </c>
      <c r="V10" s="22" t="str">
        <f t="shared" si="5"/>
        <v>236</v>
      </c>
      <c r="W10" s="23" t="str">
        <f t="shared" si="6"/>
        <v>78.67%</v>
      </c>
      <c r="X10" s="22" t="str">
        <f t="shared" si="7"/>
        <v>B</v>
      </c>
      <c r="Y10" s="22" t="str">
        <f t="shared" si="8"/>
        <v>Pass</v>
      </c>
      <c r="Z10" s="12"/>
      <c r="AA10" s="12"/>
      <c r="AB10" s="12"/>
    </row>
    <row r="11" ht="15.75" customHeight="1">
      <c r="A11" s="16" t="s">
        <v>26</v>
      </c>
      <c r="B11" s="17" t="s">
        <v>39</v>
      </c>
      <c r="C11" s="17" t="s">
        <v>40</v>
      </c>
      <c r="D11" s="16" t="s">
        <v>41</v>
      </c>
      <c r="E11" s="16">
        <v>5.0</v>
      </c>
      <c r="F11" s="18">
        <v>26.0</v>
      </c>
      <c r="G11" s="18">
        <v>33.0</v>
      </c>
      <c r="H11" s="18">
        <v>28.0</v>
      </c>
      <c r="I11" s="19" t="s">
        <v>30</v>
      </c>
      <c r="J11" s="19" t="s">
        <v>30</v>
      </c>
      <c r="K11" s="19" t="s">
        <v>30</v>
      </c>
      <c r="L11" s="20" t="str">
        <f t="shared" si="1"/>
        <v>87</v>
      </c>
      <c r="M11" s="20" t="str">
        <f t="shared" si="2"/>
        <v>C</v>
      </c>
      <c r="N11" s="18">
        <v>25.0</v>
      </c>
      <c r="O11" s="18">
        <v>32.0</v>
      </c>
      <c r="P11" s="18">
        <v>25.0</v>
      </c>
      <c r="Q11" s="19" t="s">
        <v>30</v>
      </c>
      <c r="R11" s="19" t="s">
        <v>30</v>
      </c>
      <c r="S11" s="19" t="s">
        <v>30</v>
      </c>
      <c r="T11" s="21" t="str">
        <f t="shared" si="3"/>
        <v>82</v>
      </c>
      <c r="U11" s="21" t="str">
        <f t="shared" si="4"/>
        <v>C</v>
      </c>
      <c r="V11" s="22" t="str">
        <f t="shared" si="5"/>
        <v>169</v>
      </c>
      <c r="W11" s="23" t="str">
        <f t="shared" si="6"/>
        <v>56.33%</v>
      </c>
      <c r="X11" s="22" t="str">
        <f t="shared" si="7"/>
        <v>C</v>
      </c>
      <c r="Y11" s="22" t="str">
        <f t="shared" si="8"/>
        <v>Pass</v>
      </c>
      <c r="Z11" s="12"/>
      <c r="AA11" s="12"/>
      <c r="AB11" s="12"/>
    </row>
    <row r="12" ht="15.75" customHeight="1">
      <c r="A12" s="24" t="s">
        <v>26</v>
      </c>
      <c r="B12" s="25" t="s">
        <v>42</v>
      </c>
      <c r="C12" s="25" t="s">
        <v>43</v>
      </c>
      <c r="D12" s="24" t="s">
        <v>44</v>
      </c>
      <c r="E12" s="24">
        <v>6.0</v>
      </c>
      <c r="F12" s="18">
        <v>27.0</v>
      </c>
      <c r="G12" s="18">
        <v>30.0</v>
      </c>
      <c r="H12" s="18">
        <v>26.0</v>
      </c>
      <c r="I12" s="19" t="s">
        <v>30</v>
      </c>
      <c r="J12" s="19" t="s">
        <v>30</v>
      </c>
      <c r="K12" s="19" t="s">
        <v>30</v>
      </c>
      <c r="L12" s="20" t="str">
        <f t="shared" si="1"/>
        <v>83</v>
      </c>
      <c r="M12" s="20" t="str">
        <f t="shared" si="2"/>
        <v>C</v>
      </c>
      <c r="N12" s="18">
        <v>25.0</v>
      </c>
      <c r="O12" s="18">
        <v>28.0</v>
      </c>
      <c r="P12" s="18">
        <v>28.0</v>
      </c>
      <c r="Q12" s="19" t="s">
        <v>30</v>
      </c>
      <c r="R12" s="19" t="s">
        <v>30</v>
      </c>
      <c r="S12" s="19" t="s">
        <v>30</v>
      </c>
      <c r="T12" s="21" t="str">
        <f t="shared" si="3"/>
        <v>81</v>
      </c>
      <c r="U12" s="21" t="str">
        <f t="shared" si="4"/>
        <v>C</v>
      </c>
      <c r="V12" s="22" t="str">
        <f t="shared" si="5"/>
        <v>164</v>
      </c>
      <c r="W12" s="23" t="str">
        <f t="shared" si="6"/>
        <v>54.67%</v>
      </c>
      <c r="X12" s="22" t="str">
        <f t="shared" si="7"/>
        <v>C</v>
      </c>
      <c r="Y12" s="22" t="str">
        <f t="shared" si="8"/>
        <v>Pass</v>
      </c>
      <c r="Z12" s="12"/>
      <c r="AA12" s="12"/>
      <c r="AB12" s="12"/>
    </row>
    <row r="13" ht="15.75" customHeight="1">
      <c r="A13" s="16" t="s">
        <v>26</v>
      </c>
      <c r="B13" s="17" t="s">
        <v>45</v>
      </c>
      <c r="C13" s="17" t="s">
        <v>40</v>
      </c>
      <c r="D13" s="16" t="s">
        <v>46</v>
      </c>
      <c r="E13" s="16">
        <v>7.0</v>
      </c>
      <c r="F13" s="18">
        <v>28.0</v>
      </c>
      <c r="G13" s="18">
        <v>23.0</v>
      </c>
      <c r="H13" s="18">
        <v>29.0</v>
      </c>
      <c r="I13" s="19" t="s">
        <v>30</v>
      </c>
      <c r="J13" s="19" t="s">
        <v>30</v>
      </c>
      <c r="K13" s="19" t="s">
        <v>30</v>
      </c>
      <c r="L13" s="20" t="str">
        <f t="shared" si="1"/>
        <v>80</v>
      </c>
      <c r="M13" s="20" t="str">
        <f t="shared" si="2"/>
        <v>C</v>
      </c>
      <c r="N13" s="18">
        <v>25.0</v>
      </c>
      <c r="O13" s="18">
        <v>24.0</v>
      </c>
      <c r="P13" s="18">
        <v>27.0</v>
      </c>
      <c r="Q13" s="19" t="s">
        <v>30</v>
      </c>
      <c r="R13" s="19" t="s">
        <v>30</v>
      </c>
      <c r="S13" s="19" t="s">
        <v>30</v>
      </c>
      <c r="T13" s="21" t="str">
        <f t="shared" si="3"/>
        <v>76</v>
      </c>
      <c r="U13" s="21" t="str">
        <f t="shared" si="4"/>
        <v>C</v>
      </c>
      <c r="V13" s="22" t="str">
        <f t="shared" si="5"/>
        <v>156</v>
      </c>
      <c r="W13" s="23" t="str">
        <f t="shared" si="6"/>
        <v>52.00%</v>
      </c>
      <c r="X13" s="22" t="str">
        <f t="shared" si="7"/>
        <v>C</v>
      </c>
      <c r="Y13" s="22" t="str">
        <f t="shared" si="8"/>
        <v>Pass</v>
      </c>
      <c r="Z13" s="12"/>
      <c r="AA13" s="12"/>
      <c r="AB13" s="12"/>
    </row>
    <row r="14" ht="4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12"/>
      <c r="AA14" s="12"/>
      <c r="AB14" s="12"/>
    </row>
    <row r="15" ht="19.5" customHeight="1">
      <c r="A15" s="15" t="s">
        <v>47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3"/>
      <c r="Z15" s="12"/>
      <c r="AA15" s="12"/>
      <c r="AB15" s="12"/>
    </row>
    <row r="16" ht="15.75" customHeight="1">
      <c r="A16" s="16" t="s">
        <v>48</v>
      </c>
      <c r="B16" s="17" t="s">
        <v>49</v>
      </c>
      <c r="C16" s="17" t="s">
        <v>50</v>
      </c>
      <c r="D16" s="16" t="s">
        <v>51</v>
      </c>
      <c r="E16" s="16">
        <v>1.0</v>
      </c>
      <c r="F16" s="18">
        <v>46.0</v>
      </c>
      <c r="G16" s="18">
        <v>43.0</v>
      </c>
      <c r="H16" s="18">
        <v>46.0</v>
      </c>
      <c r="I16" s="19" t="s">
        <v>30</v>
      </c>
      <c r="J16" s="19" t="s">
        <v>30</v>
      </c>
      <c r="K16" s="19" t="s">
        <v>30</v>
      </c>
      <c r="L16" s="20" t="str">
        <f t="shared" ref="L16:L21" si="9">IF(OR(A16="Class 1",A16="Class 2"),SUM(F16:H16),IF(OR(A16="Class 3",A16="Class 4",A16="Class 5"),SUM(F16:I16),SUM(F16:K16)))</f>
        <v>135</v>
      </c>
      <c r="M16" s="20" t="str">
        <f t="shared" ref="M16:M21" si="10">IF(L16="","",IF(L16/(IF(OR(A16="Class 1",A16="Class 2"),150,IF(OR(A16="Class 3",A16="Class 4",A16="Class 5"),200,300)))*100&gt;=81,"A",IF(L16/(IF(OR(A16="Class 1",A16="Class 2"),150,IF(OR(A16="Class 3",A16="Class 4",A16="Class 5"),200,300)))*100&gt;=61,"B",IF(L16/(IF(OR(A16="Class 1",A16="Class 2"),150,IF(OR(A16="Class 3",A16="Class 4",A16="Class 5"),200,300)))*100&gt;=41,"C",IF(L16/(IF(OR(A16="Class 1",A16="Class 2"),150,IF(OR(A16="Class 3",A16="Class 4",A16="Class 5"),200,300)))*100&gt;=33,"D","E")))))</f>
        <v>A</v>
      </c>
      <c r="N16" s="18">
        <v>45.0</v>
      </c>
      <c r="O16" s="18">
        <v>45.0</v>
      </c>
      <c r="P16" s="18">
        <v>45.0</v>
      </c>
      <c r="Q16" s="19" t="s">
        <v>30</v>
      </c>
      <c r="R16" s="19" t="s">
        <v>30</v>
      </c>
      <c r="S16" s="19" t="s">
        <v>30</v>
      </c>
      <c r="T16" s="21" t="str">
        <f t="shared" ref="T16:T21" si="11">IF(OR(A16="Class 1",A16="Class 2"),SUM(N16:P16),IF(OR(A16="Class 3",A16="Class 4",A16="Class 5"),SUM(N16:Q16),SUM(N16:S16)))</f>
        <v>135</v>
      </c>
      <c r="U16" s="21" t="str">
        <f t="shared" ref="U16:U21" si="12">IF(T16="","",IF(T16/(IF(OR(A16="Class 1",A16="Class 2"),150,IF(OR(A16="Class 3",A16="Class 4",A16="Class 5"),200,300)))*100&gt;=81,"A",IF(T16/(IF(OR(A16="Class 1",A16="Class 2"),150,IF(OR(A16="Class 3",A16="Class 4",A16="Class 5"),200,300)))*100&gt;=61,"B",IF(T16/(IF(OR(A16="Class 1",A16="Class 2"),150,IF(OR(A16="Class 3",A16="Class 4",A16="Class 5"),200,300)))*100&gt;=41,"C",IF(T16/(IF(OR(A16="Class 1",A16="Class 2"),150,IF(OR(A16="Class 3",A16="Class 4",A16="Class 5"),200,300)))*100&gt;=33,"D","E")))))</f>
        <v>A</v>
      </c>
      <c r="V16" s="22" t="str">
        <f t="shared" ref="V16:V21" si="13">IF(AND(L16&lt;&gt;"",T16&lt;&gt;""),L16+T16,"")</f>
        <v>270</v>
      </c>
      <c r="W16" s="23" t="str">
        <f t="shared" ref="W16:W21" si="14">IF(V16="","",ROUND(V16/(IF(OR(A16="Class 1",A16="Class 2"),150,IF(OR(A16="Class 3",A16="Class 4",A16="Class 5"),200,300))*2)*100,2))</f>
        <v>90.00%</v>
      </c>
      <c r="X16" s="22" t="str">
        <f t="shared" ref="X16:X21" si="15">IF(W16="","",IF(W16&gt;=81,"A",IF(W16&gt;=61,"B",IF(W16&gt;=41,"C",IF(W16&gt;=33,"D","E")))))</f>
        <v>A</v>
      </c>
      <c r="Y16" s="22" t="str">
        <f t="shared" ref="Y16:Y21" si="16">IF(W16="","",IF(W16&lt;33,"Fail",IF(IF(OR(A16="Class 1",A16="Class 2"),MIN(F16+N16,G16+O16,H16+P16),IF(OR(A16="Class 3",A16="Class 4",A16="Class 5"),MIN(F16+N16,G16+O16,H16+P16,I16+Q16),MIN(F16+N16,G16+O16,H16+P16,I16+Q16,J16+R16,K16+S16)))&lt;17,"Fail","Pass")))</f>
        <v>Pass</v>
      </c>
      <c r="Z16" s="12"/>
      <c r="AA16" s="12"/>
      <c r="AB16" s="12"/>
    </row>
    <row r="17" ht="15.75" customHeight="1">
      <c r="A17" s="24" t="s">
        <v>48</v>
      </c>
      <c r="B17" s="25" t="s">
        <v>52</v>
      </c>
      <c r="C17" s="25" t="s">
        <v>53</v>
      </c>
      <c r="D17" s="24" t="s">
        <v>54</v>
      </c>
      <c r="E17" s="24">
        <v>2.0</v>
      </c>
      <c r="F17" s="18">
        <v>35.0</v>
      </c>
      <c r="G17" s="18">
        <v>36.0</v>
      </c>
      <c r="H17" s="18">
        <v>29.0</v>
      </c>
      <c r="I17" s="19" t="s">
        <v>30</v>
      </c>
      <c r="J17" s="19" t="s">
        <v>30</v>
      </c>
      <c r="K17" s="19" t="s">
        <v>30</v>
      </c>
      <c r="L17" s="20" t="str">
        <f t="shared" si="9"/>
        <v>100</v>
      </c>
      <c r="M17" s="20" t="str">
        <f t="shared" si="10"/>
        <v>B</v>
      </c>
      <c r="N17" s="18">
        <v>36.0</v>
      </c>
      <c r="O17" s="18">
        <v>35.0</v>
      </c>
      <c r="P17" s="18">
        <v>30.0</v>
      </c>
      <c r="Q17" s="19" t="s">
        <v>30</v>
      </c>
      <c r="R17" s="19" t="s">
        <v>30</v>
      </c>
      <c r="S17" s="19" t="s">
        <v>30</v>
      </c>
      <c r="T17" s="21" t="str">
        <f t="shared" si="11"/>
        <v>101</v>
      </c>
      <c r="U17" s="21" t="str">
        <f t="shared" si="12"/>
        <v>B</v>
      </c>
      <c r="V17" s="22" t="str">
        <f t="shared" si="13"/>
        <v>201</v>
      </c>
      <c r="W17" s="23" t="str">
        <f t="shared" si="14"/>
        <v>67.00%</v>
      </c>
      <c r="X17" s="22" t="str">
        <f t="shared" si="15"/>
        <v>B</v>
      </c>
      <c r="Y17" s="22" t="str">
        <f t="shared" si="16"/>
        <v>Pass</v>
      </c>
      <c r="Z17" s="12"/>
      <c r="AA17" s="12"/>
      <c r="AB17" s="12"/>
    </row>
    <row r="18" ht="15.75" customHeight="1">
      <c r="A18" s="16" t="s">
        <v>48</v>
      </c>
      <c r="B18" s="17" t="s">
        <v>55</v>
      </c>
      <c r="C18" s="17" t="s">
        <v>56</v>
      </c>
      <c r="D18" s="16" t="s">
        <v>57</v>
      </c>
      <c r="E18" s="16">
        <v>3.0</v>
      </c>
      <c r="F18" s="18">
        <v>36.0</v>
      </c>
      <c r="G18" s="18">
        <v>38.0</v>
      </c>
      <c r="H18" s="18">
        <v>36.0</v>
      </c>
      <c r="I18" s="19" t="s">
        <v>30</v>
      </c>
      <c r="J18" s="19" t="s">
        <v>30</v>
      </c>
      <c r="K18" s="19" t="s">
        <v>30</v>
      </c>
      <c r="L18" s="20" t="str">
        <f t="shared" si="9"/>
        <v>110</v>
      </c>
      <c r="M18" s="20" t="str">
        <f t="shared" si="10"/>
        <v>B</v>
      </c>
      <c r="N18" s="18">
        <v>35.0</v>
      </c>
      <c r="O18" s="18">
        <v>39.0</v>
      </c>
      <c r="P18" s="18">
        <v>35.0</v>
      </c>
      <c r="Q18" s="19" t="s">
        <v>30</v>
      </c>
      <c r="R18" s="19" t="s">
        <v>30</v>
      </c>
      <c r="S18" s="19" t="s">
        <v>30</v>
      </c>
      <c r="T18" s="21" t="str">
        <f t="shared" si="11"/>
        <v>109</v>
      </c>
      <c r="U18" s="21" t="str">
        <f t="shared" si="12"/>
        <v>B</v>
      </c>
      <c r="V18" s="22" t="str">
        <f t="shared" si="13"/>
        <v>219</v>
      </c>
      <c r="W18" s="23" t="str">
        <f t="shared" si="14"/>
        <v>73.00%</v>
      </c>
      <c r="X18" s="22" t="str">
        <f t="shared" si="15"/>
        <v>B</v>
      </c>
      <c r="Y18" s="22" t="str">
        <f t="shared" si="16"/>
        <v>Pass</v>
      </c>
      <c r="Z18" s="12"/>
      <c r="AA18" s="12"/>
      <c r="AB18" s="12"/>
    </row>
    <row r="19" ht="15.75" customHeight="1">
      <c r="A19" s="24" t="s">
        <v>48</v>
      </c>
      <c r="B19" s="25" t="s">
        <v>58</v>
      </c>
      <c r="C19" s="25" t="s">
        <v>37</v>
      </c>
      <c r="D19" s="24" t="s">
        <v>59</v>
      </c>
      <c r="E19" s="24">
        <v>4.0</v>
      </c>
      <c r="F19" s="18">
        <v>41.0</v>
      </c>
      <c r="G19" s="18">
        <v>41.0</v>
      </c>
      <c r="H19" s="18">
        <v>40.0</v>
      </c>
      <c r="I19" s="19" t="s">
        <v>30</v>
      </c>
      <c r="J19" s="19" t="s">
        <v>30</v>
      </c>
      <c r="K19" s="19" t="s">
        <v>30</v>
      </c>
      <c r="L19" s="20" t="str">
        <f t="shared" si="9"/>
        <v>122</v>
      </c>
      <c r="M19" s="20" t="str">
        <f t="shared" si="10"/>
        <v>A</v>
      </c>
      <c r="N19" s="18">
        <v>40.0</v>
      </c>
      <c r="O19" s="18">
        <v>40.0</v>
      </c>
      <c r="P19" s="18">
        <v>41.0</v>
      </c>
      <c r="Q19" s="19" t="s">
        <v>30</v>
      </c>
      <c r="R19" s="19" t="s">
        <v>30</v>
      </c>
      <c r="S19" s="19" t="s">
        <v>30</v>
      </c>
      <c r="T19" s="21" t="str">
        <f t="shared" si="11"/>
        <v>121</v>
      </c>
      <c r="U19" s="21" t="str">
        <f t="shared" si="12"/>
        <v>B</v>
      </c>
      <c r="V19" s="22" t="str">
        <f t="shared" si="13"/>
        <v>243</v>
      </c>
      <c r="W19" s="23" t="str">
        <f t="shared" si="14"/>
        <v>81.00%</v>
      </c>
      <c r="X19" s="22" t="str">
        <f t="shared" si="15"/>
        <v>A</v>
      </c>
      <c r="Y19" s="22" t="str">
        <f t="shared" si="16"/>
        <v>Pass</v>
      </c>
      <c r="Z19" s="12"/>
      <c r="AA19" s="12"/>
      <c r="AB19" s="12"/>
    </row>
    <row r="20" ht="15.75" customHeight="1">
      <c r="A20" s="16" t="s">
        <v>48</v>
      </c>
      <c r="B20" s="17" t="s">
        <v>60</v>
      </c>
      <c r="C20" s="17" t="s">
        <v>61</v>
      </c>
      <c r="D20" s="16" t="s">
        <v>62</v>
      </c>
      <c r="E20" s="16">
        <v>5.0</v>
      </c>
      <c r="F20" s="18">
        <v>41.0</v>
      </c>
      <c r="G20" s="18">
        <v>34.0</v>
      </c>
      <c r="H20" s="18">
        <v>36.0</v>
      </c>
      <c r="I20" s="19" t="s">
        <v>30</v>
      </c>
      <c r="J20" s="19" t="s">
        <v>30</v>
      </c>
      <c r="K20" s="19" t="s">
        <v>30</v>
      </c>
      <c r="L20" s="20" t="str">
        <f t="shared" si="9"/>
        <v>111</v>
      </c>
      <c r="M20" s="20" t="str">
        <f t="shared" si="10"/>
        <v>B</v>
      </c>
      <c r="N20" s="18">
        <v>42.0</v>
      </c>
      <c r="O20" s="18">
        <v>35.0</v>
      </c>
      <c r="P20" s="18">
        <v>35.0</v>
      </c>
      <c r="Q20" s="19" t="s">
        <v>30</v>
      </c>
      <c r="R20" s="19" t="s">
        <v>30</v>
      </c>
      <c r="S20" s="19" t="s">
        <v>30</v>
      </c>
      <c r="T20" s="21" t="str">
        <f t="shared" si="11"/>
        <v>112</v>
      </c>
      <c r="U20" s="21" t="str">
        <f t="shared" si="12"/>
        <v>B</v>
      </c>
      <c r="V20" s="22" t="str">
        <f t="shared" si="13"/>
        <v>223</v>
      </c>
      <c r="W20" s="23" t="str">
        <f t="shared" si="14"/>
        <v>74.33%</v>
      </c>
      <c r="X20" s="22" t="str">
        <f t="shared" si="15"/>
        <v>B</v>
      </c>
      <c r="Y20" s="22" t="str">
        <f t="shared" si="16"/>
        <v>Pass</v>
      </c>
      <c r="Z20" s="12"/>
      <c r="AA20" s="12"/>
      <c r="AB20" s="12"/>
    </row>
    <row r="21" ht="15.75" customHeight="1">
      <c r="A21" s="24" t="s">
        <v>48</v>
      </c>
      <c r="B21" s="25" t="s">
        <v>63</v>
      </c>
      <c r="C21" s="25" t="s">
        <v>64</v>
      </c>
      <c r="D21" s="24" t="s">
        <v>65</v>
      </c>
      <c r="E21" s="24">
        <v>6.0</v>
      </c>
      <c r="F21" s="18">
        <v>36.0</v>
      </c>
      <c r="G21" s="18">
        <v>37.0</v>
      </c>
      <c r="H21" s="18">
        <v>34.0</v>
      </c>
      <c r="I21" s="19" t="s">
        <v>30</v>
      </c>
      <c r="J21" s="19" t="s">
        <v>30</v>
      </c>
      <c r="K21" s="19" t="s">
        <v>30</v>
      </c>
      <c r="L21" s="20" t="str">
        <f t="shared" si="9"/>
        <v>107</v>
      </c>
      <c r="M21" s="20" t="str">
        <f t="shared" si="10"/>
        <v>B</v>
      </c>
      <c r="N21" s="18">
        <v>35.0</v>
      </c>
      <c r="O21" s="18">
        <v>36.0</v>
      </c>
      <c r="P21" s="18">
        <v>35.0</v>
      </c>
      <c r="Q21" s="19" t="s">
        <v>30</v>
      </c>
      <c r="R21" s="19" t="s">
        <v>30</v>
      </c>
      <c r="S21" s="19" t="s">
        <v>30</v>
      </c>
      <c r="T21" s="21" t="str">
        <f t="shared" si="11"/>
        <v>106</v>
      </c>
      <c r="U21" s="21" t="str">
        <f t="shared" si="12"/>
        <v>B</v>
      </c>
      <c r="V21" s="22" t="str">
        <f t="shared" si="13"/>
        <v>213</v>
      </c>
      <c r="W21" s="23" t="str">
        <f t="shared" si="14"/>
        <v>71.00%</v>
      </c>
      <c r="X21" s="22" t="str">
        <f t="shared" si="15"/>
        <v>B</v>
      </c>
      <c r="Y21" s="22" t="str">
        <f t="shared" si="16"/>
        <v>Pass</v>
      </c>
      <c r="Z21" s="12"/>
      <c r="AA21" s="12"/>
      <c r="AB21" s="12"/>
    </row>
    <row r="22" ht="4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12"/>
      <c r="AA22" s="12"/>
      <c r="AB22" s="12"/>
    </row>
    <row r="23" ht="19.5" customHeight="1">
      <c r="A23" s="15" t="s">
        <v>66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3"/>
      <c r="Z23" s="12"/>
      <c r="AA23" s="12"/>
      <c r="AB23" s="12"/>
    </row>
    <row r="24" ht="15.75" customHeight="1">
      <c r="A24" s="16" t="s">
        <v>67</v>
      </c>
      <c r="B24" s="17" t="s">
        <v>68</v>
      </c>
      <c r="C24" s="17" t="s">
        <v>69</v>
      </c>
      <c r="D24" s="16" t="s">
        <v>70</v>
      </c>
      <c r="E24" s="16">
        <v>1.0</v>
      </c>
      <c r="F24" s="27">
        <v>35.0</v>
      </c>
      <c r="G24" s="27">
        <v>36.0</v>
      </c>
      <c r="H24" s="27">
        <v>27.0</v>
      </c>
      <c r="I24" s="27">
        <v>40.0</v>
      </c>
      <c r="J24" s="19" t="s">
        <v>30</v>
      </c>
      <c r="K24" s="19" t="s">
        <v>30</v>
      </c>
      <c r="L24" s="20" t="str">
        <f t="shared" ref="L24:L28" si="17">IF(OR(A24="Class 1",A24="Class 2"),SUM(F24:H24),IF(OR(A24="Class 3",A24="Class 4",A24="Class 5"),SUM(F24:I24),SUM(F24:K24)))</f>
        <v>138</v>
      </c>
      <c r="M24" s="20" t="str">
        <f t="shared" ref="M24:M28" si="18">IF(L24="","",IF(L24/(IF(OR(A24="Class 1",A24="Class 2"),150,IF(OR(A24="Class 3",A24="Class 4",A24="Class 5"),200,300)))*100&gt;=81,"A",IF(L24/(IF(OR(A24="Class 1",A24="Class 2"),150,IF(OR(A24="Class 3",A24="Class 4",A24="Class 5"),200,300)))*100&gt;=61,"B",IF(L24/(IF(OR(A24="Class 1",A24="Class 2"),150,IF(OR(A24="Class 3",A24="Class 4",A24="Class 5"),200,300)))*100&gt;=41,"C",IF(L24/(IF(OR(A24="Class 1",A24="Class 2"),150,IF(OR(A24="Class 3",A24="Class 4",A24="Class 5"),200,300)))*100&gt;=33,"D","E")))))</f>
        <v>B</v>
      </c>
      <c r="N24" s="28">
        <v>42.0</v>
      </c>
      <c r="O24" s="28">
        <v>38.0</v>
      </c>
      <c r="P24" s="28">
        <v>45.0</v>
      </c>
      <c r="Q24" s="28">
        <v>44.0</v>
      </c>
      <c r="R24" s="19" t="s">
        <v>30</v>
      </c>
      <c r="S24" s="19" t="s">
        <v>30</v>
      </c>
      <c r="T24" s="21" t="str">
        <f t="shared" ref="T24:T28" si="19">IF(OR(A24="Class 1",A24="Class 2"),SUM(N24:P24),IF(OR(A24="Class 3",A24="Class 4",A24="Class 5"),SUM(N24:Q24),SUM(N24:S24)))</f>
        <v>169</v>
      </c>
      <c r="U24" s="21" t="str">
        <f t="shared" ref="U24:U28" si="20">IF(T24="","",IF(T24/(IF(OR(A24="Class 1",A24="Class 2"),150,IF(OR(A24="Class 3",A24="Class 4",A24="Class 5"),200,300)))*100&gt;=81,"A",IF(T24/(IF(OR(A24="Class 1",A24="Class 2"),150,IF(OR(A24="Class 3",A24="Class 4",A24="Class 5"),200,300)))*100&gt;=61,"B",IF(T24/(IF(OR(A24="Class 1",A24="Class 2"),150,IF(OR(A24="Class 3",A24="Class 4",A24="Class 5"),200,300)))*100&gt;=41,"C",IF(T24/(IF(OR(A24="Class 1",A24="Class 2"),150,IF(OR(A24="Class 3",A24="Class 4",A24="Class 5"),200,300)))*100&gt;=33,"D","E")))))</f>
        <v>A</v>
      </c>
      <c r="V24" s="22" t="str">
        <f t="shared" ref="V24:V28" si="21">IF(AND(L24&lt;&gt;"",T24&lt;&gt;""),L24+T24,"")</f>
        <v>307</v>
      </c>
      <c r="W24" s="23" t="str">
        <f t="shared" ref="W24:W28" si="22">IF(V24="","",ROUND(V24/(IF(OR(A24="Class 1",A24="Class 2"),150,IF(OR(A24="Class 3",A24="Class 4",A24="Class 5"),200,300))*2)*100,2))</f>
        <v>76.75%</v>
      </c>
      <c r="X24" s="22" t="str">
        <f t="shared" ref="X24:X28" si="23">IF(W24="","",IF(W24&gt;=81,"A",IF(W24&gt;=61,"B",IF(W24&gt;=41,"C",IF(W24&gt;=33,"D","E")))))</f>
        <v>B</v>
      </c>
      <c r="Y24" s="22" t="str">
        <f t="shared" ref="Y24:Y28" si="24">IF(W24="","",IF(W24&lt;33,"Fail",IF(IF(OR(A24="Class 1",A24="Class 2"),MIN(F24+N24,G24+O24,H24+P24),IF(OR(A24="Class 3",A24="Class 4",A24="Class 5"),MIN(F24+N24,G24+O24,H24+P24,I24+Q24),MIN(F24+N24,G24+O24,H24+P24,I24+Q24,J24+R24,K24+S24)))&lt;17,"Fail","Pass")))</f>
        <v>Pass</v>
      </c>
      <c r="Z24" s="12"/>
      <c r="AA24" s="12"/>
      <c r="AB24" s="12"/>
    </row>
    <row r="25" ht="15.75" customHeight="1">
      <c r="A25" s="24" t="s">
        <v>67</v>
      </c>
      <c r="B25" s="25" t="s">
        <v>71</v>
      </c>
      <c r="C25" s="25" t="s">
        <v>72</v>
      </c>
      <c r="D25" s="24" t="s">
        <v>73</v>
      </c>
      <c r="E25" s="24">
        <v>2.0</v>
      </c>
      <c r="F25" s="27">
        <v>35.0</v>
      </c>
      <c r="G25" s="27">
        <v>37.0</v>
      </c>
      <c r="H25" s="27">
        <v>31.0</v>
      </c>
      <c r="I25" s="27">
        <v>33.0</v>
      </c>
      <c r="J25" s="19" t="s">
        <v>30</v>
      </c>
      <c r="K25" s="19" t="s">
        <v>30</v>
      </c>
      <c r="L25" s="20" t="str">
        <f t="shared" si="17"/>
        <v>136</v>
      </c>
      <c r="M25" s="20" t="str">
        <f t="shared" si="18"/>
        <v>B</v>
      </c>
      <c r="N25" s="28">
        <v>39.0</v>
      </c>
      <c r="O25" s="28">
        <v>45.0</v>
      </c>
      <c r="P25" s="28">
        <v>45.0</v>
      </c>
      <c r="Q25" s="28">
        <v>46.0</v>
      </c>
      <c r="R25" s="19" t="s">
        <v>30</v>
      </c>
      <c r="S25" s="19" t="s">
        <v>30</v>
      </c>
      <c r="T25" s="21" t="str">
        <f t="shared" si="19"/>
        <v>175</v>
      </c>
      <c r="U25" s="21" t="str">
        <f t="shared" si="20"/>
        <v>A</v>
      </c>
      <c r="V25" s="22" t="str">
        <f t="shared" si="21"/>
        <v>311</v>
      </c>
      <c r="W25" s="23" t="str">
        <f t="shared" si="22"/>
        <v>77.75%</v>
      </c>
      <c r="X25" s="22" t="str">
        <f t="shared" si="23"/>
        <v>B</v>
      </c>
      <c r="Y25" s="22" t="str">
        <f t="shared" si="24"/>
        <v>Pass</v>
      </c>
      <c r="Z25" s="12"/>
      <c r="AA25" s="12"/>
      <c r="AB25" s="12"/>
    </row>
    <row r="26" ht="15.75" customHeight="1">
      <c r="A26" s="16" t="s">
        <v>67</v>
      </c>
      <c r="B26" s="17" t="s">
        <v>74</v>
      </c>
      <c r="C26" s="17" t="s">
        <v>75</v>
      </c>
      <c r="D26" s="16" t="s">
        <v>76</v>
      </c>
      <c r="E26" s="16">
        <v>3.0</v>
      </c>
      <c r="F26" s="27">
        <v>34.0</v>
      </c>
      <c r="G26" s="27">
        <v>34.0</v>
      </c>
      <c r="H26" s="27">
        <v>27.0</v>
      </c>
      <c r="I26" s="27">
        <v>34.0</v>
      </c>
      <c r="J26" s="19" t="s">
        <v>30</v>
      </c>
      <c r="K26" s="19" t="s">
        <v>30</v>
      </c>
      <c r="L26" s="20" t="str">
        <f t="shared" si="17"/>
        <v>129</v>
      </c>
      <c r="M26" s="20" t="str">
        <f t="shared" si="18"/>
        <v>B</v>
      </c>
      <c r="N26" s="28">
        <v>22.0</v>
      </c>
      <c r="O26" s="28">
        <v>36.0</v>
      </c>
      <c r="P26" s="28">
        <v>35.0</v>
      </c>
      <c r="Q26" s="28">
        <v>35.0</v>
      </c>
      <c r="R26" s="19" t="s">
        <v>30</v>
      </c>
      <c r="S26" s="19" t="s">
        <v>30</v>
      </c>
      <c r="T26" s="21" t="str">
        <f t="shared" si="19"/>
        <v>128</v>
      </c>
      <c r="U26" s="21" t="str">
        <f t="shared" si="20"/>
        <v>B</v>
      </c>
      <c r="V26" s="22" t="str">
        <f t="shared" si="21"/>
        <v>257</v>
      </c>
      <c r="W26" s="23" t="str">
        <f t="shared" si="22"/>
        <v>64.25%</v>
      </c>
      <c r="X26" s="22" t="str">
        <f t="shared" si="23"/>
        <v>B</v>
      </c>
      <c r="Y26" s="22" t="str">
        <f t="shared" si="24"/>
        <v>Pass</v>
      </c>
      <c r="Z26" s="12"/>
      <c r="AA26" s="12"/>
      <c r="AB26" s="12"/>
    </row>
    <row r="27" ht="15.75" customHeight="1">
      <c r="A27" s="24" t="s">
        <v>67</v>
      </c>
      <c r="B27" s="25" t="s">
        <v>77</v>
      </c>
      <c r="C27" s="25" t="s">
        <v>78</v>
      </c>
      <c r="D27" s="24" t="s">
        <v>79</v>
      </c>
      <c r="E27" s="24">
        <v>4.0</v>
      </c>
      <c r="F27" s="18"/>
      <c r="G27" s="18"/>
      <c r="H27" s="18"/>
      <c r="I27" s="18"/>
      <c r="J27" s="19" t="s">
        <v>30</v>
      </c>
      <c r="K27" s="19" t="s">
        <v>30</v>
      </c>
      <c r="L27" s="20" t="str">
        <f t="shared" si="17"/>
        <v>0</v>
      </c>
      <c r="M27" s="20" t="str">
        <f t="shared" si="18"/>
        <v>E</v>
      </c>
      <c r="N27" s="28">
        <v>24.0</v>
      </c>
      <c r="O27" s="28">
        <v>28.0</v>
      </c>
      <c r="P27" s="28">
        <v>25.0</v>
      </c>
      <c r="Q27" s="28">
        <v>35.0</v>
      </c>
      <c r="R27" s="19" t="s">
        <v>30</v>
      </c>
      <c r="S27" s="19" t="s">
        <v>30</v>
      </c>
      <c r="T27" s="21" t="str">
        <f t="shared" si="19"/>
        <v>112</v>
      </c>
      <c r="U27" s="21" t="str">
        <f t="shared" si="20"/>
        <v>C</v>
      </c>
      <c r="V27" s="22" t="str">
        <f t="shared" si="21"/>
        <v>112</v>
      </c>
      <c r="W27" s="23" t="str">
        <f t="shared" si="22"/>
        <v>28.00%</v>
      </c>
      <c r="X27" s="22" t="str">
        <f t="shared" si="23"/>
        <v>E</v>
      </c>
      <c r="Y27" s="22" t="str">
        <f t="shared" si="24"/>
        <v>Fail</v>
      </c>
      <c r="Z27" s="12"/>
      <c r="AA27" s="12"/>
      <c r="AB27" s="12"/>
    </row>
    <row r="28" ht="15.75" customHeight="1">
      <c r="A28" s="16" t="s">
        <v>67</v>
      </c>
      <c r="B28" s="17" t="s">
        <v>80</v>
      </c>
      <c r="C28" s="17" t="s">
        <v>64</v>
      </c>
      <c r="D28" s="16" t="s">
        <v>81</v>
      </c>
      <c r="E28" s="16">
        <v>5.0</v>
      </c>
      <c r="F28" s="27">
        <v>22.0</v>
      </c>
      <c r="G28" s="27">
        <v>33.0</v>
      </c>
      <c r="H28" s="27">
        <v>27.0</v>
      </c>
      <c r="I28" s="27">
        <v>35.0</v>
      </c>
      <c r="J28" s="19" t="s">
        <v>30</v>
      </c>
      <c r="K28" s="19" t="s">
        <v>30</v>
      </c>
      <c r="L28" s="20" t="str">
        <f t="shared" si="17"/>
        <v>117</v>
      </c>
      <c r="M28" s="20" t="str">
        <f t="shared" si="18"/>
        <v>C</v>
      </c>
      <c r="N28" s="28">
        <v>24.0</v>
      </c>
      <c r="O28" s="28">
        <v>30.0</v>
      </c>
      <c r="P28" s="28">
        <v>25.0</v>
      </c>
      <c r="Q28" s="28">
        <v>40.0</v>
      </c>
      <c r="R28" s="19" t="s">
        <v>30</v>
      </c>
      <c r="S28" s="19" t="s">
        <v>30</v>
      </c>
      <c r="T28" s="21" t="str">
        <f t="shared" si="19"/>
        <v>119</v>
      </c>
      <c r="U28" s="21" t="str">
        <f t="shared" si="20"/>
        <v>C</v>
      </c>
      <c r="V28" s="22" t="str">
        <f t="shared" si="21"/>
        <v>236</v>
      </c>
      <c r="W28" s="23" t="str">
        <f t="shared" si="22"/>
        <v>59.00%</v>
      </c>
      <c r="X28" s="22" t="str">
        <f t="shared" si="23"/>
        <v>C</v>
      </c>
      <c r="Y28" s="22" t="str">
        <f t="shared" si="24"/>
        <v>Pass</v>
      </c>
      <c r="Z28" s="12"/>
      <c r="AA28" s="12"/>
      <c r="AB28" s="12"/>
    </row>
    <row r="29" ht="4.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12"/>
      <c r="AA29" s="12"/>
      <c r="AB29" s="12"/>
    </row>
    <row r="30" ht="19.5" customHeight="1">
      <c r="A30" s="15" t="s">
        <v>82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3"/>
      <c r="Z30" s="12"/>
      <c r="AA30" s="12"/>
      <c r="AB30" s="12"/>
    </row>
    <row r="31" ht="15.75" customHeight="1">
      <c r="A31" s="16" t="s">
        <v>83</v>
      </c>
      <c r="B31" s="17" t="s">
        <v>84</v>
      </c>
      <c r="C31" s="17" t="s">
        <v>85</v>
      </c>
      <c r="D31" s="16" t="s">
        <v>86</v>
      </c>
      <c r="E31" s="16">
        <v>1.0</v>
      </c>
      <c r="F31" s="27">
        <v>38.0</v>
      </c>
      <c r="G31" s="27">
        <v>46.0</v>
      </c>
      <c r="H31" s="27">
        <v>36.0</v>
      </c>
      <c r="I31" s="27">
        <v>46.0</v>
      </c>
      <c r="J31" s="19" t="s">
        <v>30</v>
      </c>
      <c r="K31" s="19" t="s">
        <v>30</v>
      </c>
      <c r="L31" s="20" t="str">
        <f t="shared" ref="L31:L40" si="25">IF(OR(A31="Class 1",A31="Class 2"),SUM(F31:H31),IF(OR(A31="Class 3",A31="Class 4",A31="Class 5"),SUM(F31:I31),SUM(F31:K31)))</f>
        <v>166</v>
      </c>
      <c r="M31" s="20" t="str">
        <f t="shared" ref="M31:M40" si="26">IF(L31="","",IF(L31/(IF(OR(A31="Class 1",A31="Class 2"),150,IF(OR(A31="Class 3",A31="Class 4",A31="Class 5"),200,300)))*100&gt;=81,"A",IF(L31/(IF(OR(A31="Class 1",A31="Class 2"),150,IF(OR(A31="Class 3",A31="Class 4",A31="Class 5"),200,300)))*100&gt;=61,"B",IF(L31/(IF(OR(A31="Class 1",A31="Class 2"),150,IF(OR(A31="Class 3",A31="Class 4",A31="Class 5"),200,300)))*100&gt;=41,"C",IF(L31/(IF(OR(A31="Class 1",A31="Class 2"),150,IF(OR(A31="Class 3",A31="Class 4",A31="Class 5"),200,300)))*100&gt;=33,"D","E")))))</f>
        <v>A</v>
      </c>
      <c r="N31" s="28">
        <v>48.0</v>
      </c>
      <c r="O31" s="28">
        <v>48.0</v>
      </c>
      <c r="P31" s="28">
        <v>42.0</v>
      </c>
      <c r="Q31" s="28">
        <v>41.0</v>
      </c>
      <c r="R31" s="19" t="s">
        <v>30</v>
      </c>
      <c r="S31" s="19" t="s">
        <v>30</v>
      </c>
      <c r="T31" s="21" t="str">
        <f t="shared" ref="T31:T40" si="27">IF(OR(A31="Class 1",A31="Class 2"),SUM(N31:P31),IF(OR(A31="Class 3",A31="Class 4",A31="Class 5"),SUM(N31:Q31),SUM(N31:S31)))</f>
        <v>179</v>
      </c>
      <c r="U31" s="21" t="str">
        <f t="shared" ref="U31:U40" si="28">IF(T31="","",IF(T31/(IF(OR(A31="Class 1",A31="Class 2"),150,IF(OR(A31="Class 3",A31="Class 4",A31="Class 5"),200,300)))*100&gt;=81,"A",IF(T31/(IF(OR(A31="Class 1",A31="Class 2"),150,IF(OR(A31="Class 3",A31="Class 4",A31="Class 5"),200,300)))*100&gt;=61,"B",IF(T31/(IF(OR(A31="Class 1",A31="Class 2"),150,IF(OR(A31="Class 3",A31="Class 4",A31="Class 5"),200,300)))*100&gt;=41,"C",IF(T31/(IF(OR(A31="Class 1",A31="Class 2"),150,IF(OR(A31="Class 3",A31="Class 4",A31="Class 5"),200,300)))*100&gt;=33,"D","E")))))</f>
        <v>A</v>
      </c>
      <c r="V31" s="22" t="str">
        <f t="shared" ref="V31:V40" si="29">IF(AND(L31&lt;&gt;"",T31&lt;&gt;""),L31+T31,"")</f>
        <v>345</v>
      </c>
      <c r="W31" s="23" t="str">
        <f t="shared" ref="W31:W40" si="30">IF(V31="","",ROUND(V31/(IF(OR(A31="Class 1",A31="Class 2"),150,IF(OR(A31="Class 3",A31="Class 4",A31="Class 5"),200,300))*2)*100,2))</f>
        <v>86.25%</v>
      </c>
      <c r="X31" s="22" t="str">
        <f t="shared" ref="X31:X40" si="31">IF(W31="","",IF(W31&gt;=81,"A",IF(W31&gt;=61,"B",IF(W31&gt;=41,"C",IF(W31&gt;=33,"D","E")))))</f>
        <v>A</v>
      </c>
      <c r="Y31" s="22" t="str">
        <f t="shared" ref="Y31:Y40" si="32">IF(W31="","",IF(W31&lt;33,"Fail",IF(IF(OR(A31="Class 1",A31="Class 2"),MIN(F31+N31,G31+O31,H31+P31),IF(OR(A31="Class 3",A31="Class 4",A31="Class 5"),MIN(F31+N31,G31+O31,H31+P31,I31+Q31),MIN(F31+N31,G31+O31,H31+P31,I31+Q31,J31+R31,K31+S31)))&lt;17,"Fail","Pass")))</f>
        <v>Pass</v>
      </c>
      <c r="Z31" s="12"/>
      <c r="AA31" s="12"/>
      <c r="AB31" s="12"/>
    </row>
    <row r="32" ht="15.75" customHeight="1">
      <c r="A32" s="24" t="s">
        <v>83</v>
      </c>
      <c r="B32" s="25" t="s">
        <v>87</v>
      </c>
      <c r="C32" s="25" t="s">
        <v>88</v>
      </c>
      <c r="D32" s="24" t="s">
        <v>89</v>
      </c>
      <c r="E32" s="24">
        <v>2.0</v>
      </c>
      <c r="F32" s="27">
        <v>39.0</v>
      </c>
      <c r="G32" s="27">
        <v>49.0</v>
      </c>
      <c r="H32" s="27">
        <v>39.0</v>
      </c>
      <c r="I32" s="27">
        <v>42.0</v>
      </c>
      <c r="J32" s="19" t="s">
        <v>30</v>
      </c>
      <c r="K32" s="19" t="s">
        <v>30</v>
      </c>
      <c r="L32" s="20" t="str">
        <f t="shared" si="25"/>
        <v>169</v>
      </c>
      <c r="M32" s="20" t="str">
        <f t="shared" si="26"/>
        <v>A</v>
      </c>
      <c r="N32" s="28">
        <v>45.0</v>
      </c>
      <c r="O32" s="28">
        <v>30.0</v>
      </c>
      <c r="P32" s="28">
        <v>44.0</v>
      </c>
      <c r="Q32" s="28">
        <v>46.0</v>
      </c>
      <c r="R32" s="19" t="s">
        <v>30</v>
      </c>
      <c r="S32" s="19" t="s">
        <v>30</v>
      </c>
      <c r="T32" s="21" t="str">
        <f t="shared" si="27"/>
        <v>165</v>
      </c>
      <c r="U32" s="21" t="str">
        <f t="shared" si="28"/>
        <v>A</v>
      </c>
      <c r="V32" s="22" t="str">
        <f t="shared" si="29"/>
        <v>334</v>
      </c>
      <c r="W32" s="23" t="str">
        <f t="shared" si="30"/>
        <v>83.50%</v>
      </c>
      <c r="X32" s="22" t="str">
        <f t="shared" si="31"/>
        <v>A</v>
      </c>
      <c r="Y32" s="22" t="str">
        <f t="shared" si="32"/>
        <v>Pass</v>
      </c>
      <c r="Z32" s="12"/>
      <c r="AA32" s="12"/>
      <c r="AB32" s="12"/>
    </row>
    <row r="33" ht="15.75" customHeight="1">
      <c r="A33" s="16" t="s">
        <v>83</v>
      </c>
      <c r="B33" s="17" t="s">
        <v>90</v>
      </c>
      <c r="C33" s="17" t="s">
        <v>88</v>
      </c>
      <c r="D33" s="16" t="s">
        <v>89</v>
      </c>
      <c r="E33" s="16">
        <v>3.0</v>
      </c>
      <c r="F33" s="27">
        <v>39.0</v>
      </c>
      <c r="G33" s="27">
        <v>46.0</v>
      </c>
      <c r="H33" s="27">
        <v>36.0</v>
      </c>
      <c r="I33" s="27">
        <v>46.0</v>
      </c>
      <c r="J33" s="19" t="s">
        <v>30</v>
      </c>
      <c r="K33" s="19" t="s">
        <v>30</v>
      </c>
      <c r="L33" s="20" t="str">
        <f t="shared" si="25"/>
        <v>167</v>
      </c>
      <c r="M33" s="20" t="str">
        <f t="shared" si="26"/>
        <v>A</v>
      </c>
      <c r="N33" s="28">
        <v>45.0</v>
      </c>
      <c r="O33" s="28">
        <v>46.0</v>
      </c>
      <c r="P33" s="28">
        <v>46.0</v>
      </c>
      <c r="Q33" s="28">
        <v>40.0</v>
      </c>
      <c r="R33" s="19" t="s">
        <v>30</v>
      </c>
      <c r="S33" s="19" t="s">
        <v>30</v>
      </c>
      <c r="T33" s="21" t="str">
        <f t="shared" si="27"/>
        <v>177</v>
      </c>
      <c r="U33" s="21" t="str">
        <f t="shared" si="28"/>
        <v>A</v>
      </c>
      <c r="V33" s="22" t="str">
        <f t="shared" si="29"/>
        <v>344</v>
      </c>
      <c r="W33" s="23" t="str">
        <f t="shared" si="30"/>
        <v>86.00%</v>
      </c>
      <c r="X33" s="22" t="str">
        <f t="shared" si="31"/>
        <v>A</v>
      </c>
      <c r="Y33" s="22" t="str">
        <f t="shared" si="32"/>
        <v>Pass</v>
      </c>
      <c r="Z33" s="12"/>
      <c r="AA33" s="12"/>
      <c r="AB33" s="12"/>
    </row>
    <row r="34" ht="15.75" customHeight="1">
      <c r="A34" s="24" t="s">
        <v>83</v>
      </c>
      <c r="B34" s="25" t="s">
        <v>91</v>
      </c>
      <c r="C34" s="25" t="s">
        <v>92</v>
      </c>
      <c r="D34" s="24" t="s">
        <v>93</v>
      </c>
      <c r="E34" s="24">
        <v>4.0</v>
      </c>
      <c r="F34" s="27">
        <v>0.0</v>
      </c>
      <c r="G34" s="27">
        <v>0.0</v>
      </c>
      <c r="H34" s="27">
        <v>0.0</v>
      </c>
      <c r="I34" s="27">
        <v>0.0</v>
      </c>
      <c r="J34" s="19" t="s">
        <v>30</v>
      </c>
      <c r="K34" s="19" t="s">
        <v>30</v>
      </c>
      <c r="L34" s="20" t="str">
        <f t="shared" si="25"/>
        <v>0</v>
      </c>
      <c r="M34" s="20" t="str">
        <f t="shared" si="26"/>
        <v>E</v>
      </c>
      <c r="N34" s="28">
        <v>43.0</v>
      </c>
      <c r="O34" s="28">
        <v>43.0</v>
      </c>
      <c r="P34" s="28">
        <v>25.0</v>
      </c>
      <c r="Q34" s="28">
        <v>27.0</v>
      </c>
      <c r="R34" s="19" t="s">
        <v>30</v>
      </c>
      <c r="S34" s="19" t="s">
        <v>30</v>
      </c>
      <c r="T34" s="21" t="str">
        <f t="shared" si="27"/>
        <v>138</v>
      </c>
      <c r="U34" s="21" t="str">
        <f t="shared" si="28"/>
        <v>B</v>
      </c>
      <c r="V34" s="22" t="str">
        <f t="shared" si="29"/>
        <v>138</v>
      </c>
      <c r="W34" s="23" t="str">
        <f t="shared" si="30"/>
        <v>34.50%</v>
      </c>
      <c r="X34" s="22" t="str">
        <f t="shared" si="31"/>
        <v>D</v>
      </c>
      <c r="Y34" s="22" t="str">
        <f t="shared" si="32"/>
        <v>Pass</v>
      </c>
      <c r="Z34" s="12"/>
      <c r="AA34" s="12"/>
      <c r="AB34" s="12"/>
    </row>
    <row r="35" ht="15.75" customHeight="1">
      <c r="A35" s="16" t="s">
        <v>83</v>
      </c>
      <c r="B35" s="17" t="s">
        <v>94</v>
      </c>
      <c r="C35" s="17" t="s">
        <v>95</v>
      </c>
      <c r="D35" s="16" t="s">
        <v>96</v>
      </c>
      <c r="E35" s="16">
        <v>5.0</v>
      </c>
      <c r="F35" s="27">
        <v>30.0</v>
      </c>
      <c r="G35" s="27">
        <v>34.0</v>
      </c>
      <c r="H35" s="27">
        <v>22.0</v>
      </c>
      <c r="I35" s="27">
        <v>24.0</v>
      </c>
      <c r="J35" s="19" t="s">
        <v>30</v>
      </c>
      <c r="K35" s="19" t="s">
        <v>30</v>
      </c>
      <c r="L35" s="20" t="str">
        <f t="shared" si="25"/>
        <v>110</v>
      </c>
      <c r="M35" s="20" t="str">
        <f t="shared" si="26"/>
        <v>C</v>
      </c>
      <c r="N35" s="28">
        <v>30.0</v>
      </c>
      <c r="O35" s="28">
        <v>40.0</v>
      </c>
      <c r="P35" s="28">
        <v>26.0</v>
      </c>
      <c r="Q35" s="28">
        <v>30.0</v>
      </c>
      <c r="R35" s="19" t="s">
        <v>30</v>
      </c>
      <c r="S35" s="19" t="s">
        <v>30</v>
      </c>
      <c r="T35" s="21" t="str">
        <f t="shared" si="27"/>
        <v>126</v>
      </c>
      <c r="U35" s="21" t="str">
        <f t="shared" si="28"/>
        <v>B</v>
      </c>
      <c r="V35" s="22" t="str">
        <f t="shared" si="29"/>
        <v>236</v>
      </c>
      <c r="W35" s="23" t="str">
        <f t="shared" si="30"/>
        <v>59.00%</v>
      </c>
      <c r="X35" s="22" t="str">
        <f t="shared" si="31"/>
        <v>C</v>
      </c>
      <c r="Y35" s="22" t="str">
        <f t="shared" si="32"/>
        <v>Pass</v>
      </c>
      <c r="Z35" s="12"/>
      <c r="AA35" s="12"/>
      <c r="AB35" s="12"/>
    </row>
    <row r="36" ht="15.75" customHeight="1">
      <c r="A36" s="24" t="s">
        <v>83</v>
      </c>
      <c r="B36" s="25" t="s">
        <v>97</v>
      </c>
      <c r="C36" s="25" t="s">
        <v>98</v>
      </c>
      <c r="D36" s="24" t="s">
        <v>99</v>
      </c>
      <c r="E36" s="24">
        <v>6.0</v>
      </c>
      <c r="F36" s="27">
        <v>30.0</v>
      </c>
      <c r="G36" s="27">
        <v>23.0</v>
      </c>
      <c r="H36" s="27">
        <v>23.0</v>
      </c>
      <c r="I36" s="27">
        <v>24.0</v>
      </c>
      <c r="J36" s="19" t="s">
        <v>30</v>
      </c>
      <c r="K36" s="19" t="s">
        <v>30</v>
      </c>
      <c r="L36" s="20" t="str">
        <f t="shared" si="25"/>
        <v>100</v>
      </c>
      <c r="M36" s="20" t="str">
        <f t="shared" si="26"/>
        <v>C</v>
      </c>
      <c r="N36" s="28">
        <v>27.0</v>
      </c>
      <c r="O36" s="28">
        <v>30.0</v>
      </c>
      <c r="P36" s="28">
        <v>22.0</v>
      </c>
      <c r="Q36" s="28">
        <v>30.0</v>
      </c>
      <c r="R36" s="19" t="s">
        <v>30</v>
      </c>
      <c r="S36" s="19" t="s">
        <v>30</v>
      </c>
      <c r="T36" s="21" t="str">
        <f t="shared" si="27"/>
        <v>109</v>
      </c>
      <c r="U36" s="21" t="str">
        <f t="shared" si="28"/>
        <v>C</v>
      </c>
      <c r="V36" s="22" t="str">
        <f t="shared" si="29"/>
        <v>209</v>
      </c>
      <c r="W36" s="23" t="str">
        <f t="shared" si="30"/>
        <v>52.25%</v>
      </c>
      <c r="X36" s="22" t="str">
        <f t="shared" si="31"/>
        <v>C</v>
      </c>
      <c r="Y36" s="22" t="str">
        <f t="shared" si="32"/>
        <v>Pass</v>
      </c>
      <c r="Z36" s="12"/>
      <c r="AA36" s="12"/>
      <c r="AB36" s="12"/>
    </row>
    <row r="37" ht="15.75" customHeight="1">
      <c r="A37" s="16" t="s">
        <v>83</v>
      </c>
      <c r="B37" s="17" t="s">
        <v>100</v>
      </c>
      <c r="C37" s="17" t="s">
        <v>101</v>
      </c>
      <c r="D37" s="16" t="s">
        <v>102</v>
      </c>
      <c r="E37" s="16">
        <v>7.0</v>
      </c>
      <c r="F37" s="27">
        <v>33.0</v>
      </c>
      <c r="G37" s="27">
        <v>32.0</v>
      </c>
      <c r="H37" s="27">
        <v>20.0</v>
      </c>
      <c r="I37" s="27">
        <v>28.0</v>
      </c>
      <c r="J37" s="19" t="s">
        <v>30</v>
      </c>
      <c r="K37" s="19" t="s">
        <v>30</v>
      </c>
      <c r="L37" s="20" t="str">
        <f t="shared" si="25"/>
        <v>113</v>
      </c>
      <c r="M37" s="20" t="str">
        <f t="shared" si="26"/>
        <v>C</v>
      </c>
      <c r="N37" s="28">
        <v>27.0</v>
      </c>
      <c r="O37" s="28">
        <v>45.0</v>
      </c>
      <c r="P37" s="28">
        <v>30.0</v>
      </c>
      <c r="Q37" s="28">
        <v>40.0</v>
      </c>
      <c r="R37" s="19" t="s">
        <v>30</v>
      </c>
      <c r="S37" s="19" t="s">
        <v>30</v>
      </c>
      <c r="T37" s="21" t="str">
        <f t="shared" si="27"/>
        <v>142</v>
      </c>
      <c r="U37" s="21" t="str">
        <f t="shared" si="28"/>
        <v>B</v>
      </c>
      <c r="V37" s="22" t="str">
        <f t="shared" si="29"/>
        <v>255</v>
      </c>
      <c r="W37" s="23" t="str">
        <f t="shared" si="30"/>
        <v>63.75%</v>
      </c>
      <c r="X37" s="22" t="str">
        <f t="shared" si="31"/>
        <v>B</v>
      </c>
      <c r="Y37" s="22" t="str">
        <f t="shared" si="32"/>
        <v>Pass</v>
      </c>
      <c r="Z37" s="12"/>
      <c r="AA37" s="12"/>
      <c r="AB37" s="12"/>
    </row>
    <row r="38" ht="15.75" customHeight="1">
      <c r="A38" s="24" t="s">
        <v>83</v>
      </c>
      <c r="B38" s="25" t="s">
        <v>103</v>
      </c>
      <c r="C38" s="25" t="s">
        <v>104</v>
      </c>
      <c r="D38" s="24" t="s">
        <v>105</v>
      </c>
      <c r="E38" s="24">
        <v>8.0</v>
      </c>
      <c r="F38" s="27">
        <v>27.0</v>
      </c>
      <c r="G38" s="27">
        <v>38.0</v>
      </c>
      <c r="H38" s="27">
        <v>26.0</v>
      </c>
      <c r="I38" s="27">
        <v>24.0</v>
      </c>
      <c r="J38" s="19" t="s">
        <v>30</v>
      </c>
      <c r="K38" s="19" t="s">
        <v>30</v>
      </c>
      <c r="L38" s="20" t="str">
        <f t="shared" si="25"/>
        <v>115</v>
      </c>
      <c r="M38" s="20" t="str">
        <f t="shared" si="26"/>
        <v>C</v>
      </c>
      <c r="N38" s="28">
        <v>32.0</v>
      </c>
      <c r="O38" s="28">
        <v>40.0</v>
      </c>
      <c r="P38" s="28">
        <v>30.0</v>
      </c>
      <c r="Q38" s="28">
        <v>40.0</v>
      </c>
      <c r="R38" s="19" t="s">
        <v>30</v>
      </c>
      <c r="S38" s="19" t="s">
        <v>30</v>
      </c>
      <c r="T38" s="21" t="str">
        <f t="shared" si="27"/>
        <v>142</v>
      </c>
      <c r="U38" s="21" t="str">
        <f t="shared" si="28"/>
        <v>B</v>
      </c>
      <c r="V38" s="22" t="str">
        <f t="shared" si="29"/>
        <v>257</v>
      </c>
      <c r="W38" s="23" t="str">
        <f t="shared" si="30"/>
        <v>64.25%</v>
      </c>
      <c r="X38" s="22" t="str">
        <f t="shared" si="31"/>
        <v>B</v>
      </c>
      <c r="Y38" s="22" t="str">
        <f t="shared" si="32"/>
        <v>Pass</v>
      </c>
      <c r="Z38" s="12"/>
      <c r="AA38" s="12"/>
      <c r="AB38" s="12"/>
    </row>
    <row r="39" ht="15.75" customHeight="1">
      <c r="A39" s="24" t="s">
        <v>83</v>
      </c>
      <c r="B39" s="25" t="s">
        <v>106</v>
      </c>
      <c r="C39" s="25" t="s">
        <v>107</v>
      </c>
      <c r="D39" s="24" t="s">
        <v>108</v>
      </c>
      <c r="E39" s="24">
        <v>10.0</v>
      </c>
      <c r="F39" s="27">
        <v>42.0</v>
      </c>
      <c r="G39" s="27">
        <v>44.0</v>
      </c>
      <c r="H39" s="27">
        <v>38.0</v>
      </c>
      <c r="I39" s="27">
        <v>43.0</v>
      </c>
      <c r="J39" s="19" t="s">
        <v>30</v>
      </c>
      <c r="K39" s="19" t="s">
        <v>30</v>
      </c>
      <c r="L39" s="20" t="str">
        <f t="shared" si="25"/>
        <v>167</v>
      </c>
      <c r="M39" s="20" t="str">
        <f t="shared" si="26"/>
        <v>A</v>
      </c>
      <c r="N39" s="28">
        <v>45.0</v>
      </c>
      <c r="O39" s="28">
        <v>40.0</v>
      </c>
      <c r="P39" s="28">
        <v>44.0</v>
      </c>
      <c r="Q39" s="28">
        <v>37.0</v>
      </c>
      <c r="R39" s="19" t="s">
        <v>30</v>
      </c>
      <c r="S39" s="19" t="s">
        <v>30</v>
      </c>
      <c r="T39" s="21" t="str">
        <f t="shared" si="27"/>
        <v>166</v>
      </c>
      <c r="U39" s="21" t="str">
        <f t="shared" si="28"/>
        <v>A</v>
      </c>
      <c r="V39" s="22" t="str">
        <f t="shared" si="29"/>
        <v>333</v>
      </c>
      <c r="W39" s="23" t="str">
        <f t="shared" si="30"/>
        <v>83.25%</v>
      </c>
      <c r="X39" s="22" t="str">
        <f t="shared" si="31"/>
        <v>A</v>
      </c>
      <c r="Y39" s="22" t="str">
        <f t="shared" si="32"/>
        <v>Pass</v>
      </c>
      <c r="Z39" s="12"/>
      <c r="AA39" s="12"/>
      <c r="AB39" s="12"/>
    </row>
    <row r="40" ht="15.75" customHeight="1">
      <c r="A40" s="16" t="s">
        <v>83</v>
      </c>
      <c r="B40" s="17" t="s">
        <v>109</v>
      </c>
      <c r="C40" s="17" t="s">
        <v>110</v>
      </c>
      <c r="D40" s="16" t="s">
        <v>111</v>
      </c>
      <c r="E40" s="16">
        <v>11.0</v>
      </c>
      <c r="F40" s="27">
        <v>24.0</v>
      </c>
      <c r="G40" s="27">
        <v>26.0</v>
      </c>
      <c r="H40" s="27">
        <v>23.0</v>
      </c>
      <c r="I40" s="27">
        <v>20.0</v>
      </c>
      <c r="J40" s="19" t="s">
        <v>30</v>
      </c>
      <c r="K40" s="19" t="s">
        <v>30</v>
      </c>
      <c r="L40" s="20" t="str">
        <f t="shared" si="25"/>
        <v>93</v>
      </c>
      <c r="M40" s="20" t="str">
        <f t="shared" si="26"/>
        <v>C</v>
      </c>
      <c r="N40" s="28">
        <v>0.0</v>
      </c>
      <c r="O40" s="28">
        <v>0.0</v>
      </c>
      <c r="P40" s="28">
        <v>0.0</v>
      </c>
      <c r="Q40" s="28">
        <v>28.0</v>
      </c>
      <c r="R40" s="19" t="s">
        <v>30</v>
      </c>
      <c r="S40" s="19" t="s">
        <v>30</v>
      </c>
      <c r="T40" s="21" t="str">
        <f t="shared" si="27"/>
        <v>28</v>
      </c>
      <c r="U40" s="21" t="str">
        <f t="shared" si="28"/>
        <v>E</v>
      </c>
      <c r="V40" s="22" t="str">
        <f t="shared" si="29"/>
        <v>121</v>
      </c>
      <c r="W40" s="23" t="str">
        <f t="shared" si="30"/>
        <v>30.25%</v>
      </c>
      <c r="X40" s="22" t="str">
        <f t="shared" si="31"/>
        <v>E</v>
      </c>
      <c r="Y40" s="22" t="str">
        <f t="shared" si="32"/>
        <v>Fail</v>
      </c>
      <c r="Z40" s="12"/>
      <c r="AA40" s="12"/>
      <c r="AB40" s="12"/>
    </row>
    <row r="41" ht="4.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12"/>
      <c r="AA41" s="12"/>
      <c r="AB41" s="12"/>
    </row>
    <row r="42" ht="19.5" customHeight="1">
      <c r="A42" s="15" t="s">
        <v>112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3"/>
      <c r="Z42" s="12"/>
      <c r="AA42" s="12"/>
      <c r="AB42" s="12"/>
    </row>
    <row r="43" ht="15.75" customHeight="1">
      <c r="A43" s="16" t="s">
        <v>113</v>
      </c>
      <c r="B43" s="17" t="s">
        <v>114</v>
      </c>
      <c r="C43" s="17" t="s">
        <v>85</v>
      </c>
      <c r="D43" s="16" t="s">
        <v>115</v>
      </c>
      <c r="E43" s="16">
        <v>1.0</v>
      </c>
      <c r="F43" s="27">
        <v>38.0</v>
      </c>
      <c r="G43" s="27">
        <v>43.0</v>
      </c>
      <c r="H43" s="27">
        <v>37.0</v>
      </c>
      <c r="I43" s="27">
        <v>40.0</v>
      </c>
      <c r="J43" s="19" t="s">
        <v>30</v>
      </c>
      <c r="K43" s="19" t="s">
        <v>30</v>
      </c>
      <c r="L43" s="20" t="str">
        <f t="shared" ref="L43:L50" si="33">IF(OR(A43="Class 1",A43="Class 2"),SUM(F43:H43),IF(OR(A43="Class 3",A43="Class 4",A43="Class 5"),SUM(F43:I43),SUM(F43:K43)))</f>
        <v>158</v>
      </c>
      <c r="M43" s="20" t="str">
        <f t="shared" ref="M43:M50" si="34">IF(L43="","",IF(L43/(IF(OR(A43="Class 1",A43="Class 2"),150,IF(OR(A43="Class 3",A43="Class 4",A43="Class 5"),200,300)))*100&gt;=81,"A",IF(L43/(IF(OR(A43="Class 1",A43="Class 2"),150,IF(OR(A43="Class 3",A43="Class 4",A43="Class 5"),200,300)))*100&gt;=61,"B",IF(L43/(IF(OR(A43="Class 1",A43="Class 2"),150,IF(OR(A43="Class 3",A43="Class 4",A43="Class 5"),200,300)))*100&gt;=41,"C",IF(L43/(IF(OR(A43="Class 1",A43="Class 2"),150,IF(OR(A43="Class 3",A43="Class 4",A43="Class 5"),200,300)))*100&gt;=33,"D","E")))))</f>
        <v>B</v>
      </c>
      <c r="N43" s="28">
        <v>43.0</v>
      </c>
      <c r="O43" s="28">
        <v>46.0</v>
      </c>
      <c r="P43" s="28">
        <v>42.0</v>
      </c>
      <c r="Q43" s="28">
        <v>44.0</v>
      </c>
      <c r="R43" s="19" t="s">
        <v>30</v>
      </c>
      <c r="S43" s="19" t="s">
        <v>30</v>
      </c>
      <c r="T43" s="21" t="str">
        <f t="shared" ref="T43:T50" si="35">IF(OR(A43="Class 1",A43="Class 2"),SUM(N43:P43),IF(OR(A43="Class 3",A43="Class 4",A43="Class 5"),SUM(N43:Q43),SUM(N43:S43)))</f>
        <v>175</v>
      </c>
      <c r="U43" s="21" t="str">
        <f t="shared" ref="U43:U50" si="36">IF(T43="","",IF(T43/(IF(OR(A43="Class 1",A43="Class 2"),150,IF(OR(A43="Class 3",A43="Class 4",A43="Class 5"),200,300)))*100&gt;=81,"A",IF(T43/(IF(OR(A43="Class 1",A43="Class 2"),150,IF(OR(A43="Class 3",A43="Class 4",A43="Class 5"),200,300)))*100&gt;=61,"B",IF(T43/(IF(OR(A43="Class 1",A43="Class 2"),150,IF(OR(A43="Class 3",A43="Class 4",A43="Class 5"),200,300)))*100&gt;=41,"C",IF(T43/(IF(OR(A43="Class 1",A43="Class 2"),150,IF(OR(A43="Class 3",A43="Class 4",A43="Class 5"),200,300)))*100&gt;=33,"D","E")))))</f>
        <v>A</v>
      </c>
      <c r="V43" s="22" t="str">
        <f t="shared" ref="V43:V50" si="37">IF(AND(L43&lt;&gt;"",T43&lt;&gt;""),L43+T43,"")</f>
        <v>333</v>
      </c>
      <c r="W43" s="23" t="str">
        <f t="shared" ref="W43:W50" si="38">IF(V43="","",ROUND(V43/(IF(OR(A43="Class 1",A43="Class 2"),150,IF(OR(A43="Class 3",A43="Class 4",A43="Class 5"),200,300))*2)*100,2))</f>
        <v>83.25%</v>
      </c>
      <c r="X43" s="22" t="str">
        <f t="shared" ref="X43:X50" si="39">IF(W43="","",IF(W43&gt;=81,"A",IF(W43&gt;=61,"B",IF(W43&gt;=41,"C",IF(W43&gt;=33,"D","E")))))</f>
        <v>A</v>
      </c>
      <c r="Y43" s="22" t="str">
        <f t="shared" ref="Y43:Y50" si="40">IF(W43="","",IF(W43&lt;33,"Fail",IF(IF(OR(A43="Class 1",A43="Class 2"),MIN(F43+N43,G43+O43,H43+P43),IF(OR(A43="Class 3",A43="Class 4",A43="Class 5"),MIN(F43+N43,G43+O43,H43+P43,I43+Q43),MIN(F43+N43,G43+O43,H43+P43,I43+Q43,J43+R43,K43+S43)))&lt;17,"Fail","Pass")))</f>
        <v>Pass</v>
      </c>
      <c r="Z43" s="12"/>
      <c r="AA43" s="12"/>
      <c r="AB43" s="12"/>
    </row>
    <row r="44" ht="15.75" customHeight="1">
      <c r="A44" s="24" t="s">
        <v>113</v>
      </c>
      <c r="B44" s="25" t="s">
        <v>116</v>
      </c>
      <c r="C44" s="25" t="s">
        <v>117</v>
      </c>
      <c r="D44" s="24" t="s">
        <v>118</v>
      </c>
      <c r="E44" s="24">
        <v>2.0</v>
      </c>
      <c r="F44" s="27">
        <v>34.0</v>
      </c>
      <c r="G44" s="27">
        <v>38.0</v>
      </c>
      <c r="H44" s="27">
        <v>34.0</v>
      </c>
      <c r="I44" s="27">
        <v>31.0</v>
      </c>
      <c r="J44" s="19" t="s">
        <v>30</v>
      </c>
      <c r="K44" s="19" t="s">
        <v>30</v>
      </c>
      <c r="L44" s="20" t="str">
        <f t="shared" si="33"/>
        <v>137</v>
      </c>
      <c r="M44" s="20" t="str">
        <f t="shared" si="34"/>
        <v>B</v>
      </c>
      <c r="N44" s="28">
        <v>46.0</v>
      </c>
      <c r="O44" s="28">
        <v>43.0</v>
      </c>
      <c r="P44" s="28">
        <v>42.0</v>
      </c>
      <c r="Q44" s="28">
        <v>40.0</v>
      </c>
      <c r="R44" s="19" t="s">
        <v>30</v>
      </c>
      <c r="S44" s="19" t="s">
        <v>30</v>
      </c>
      <c r="T44" s="21" t="str">
        <f t="shared" si="35"/>
        <v>171</v>
      </c>
      <c r="U44" s="21" t="str">
        <f t="shared" si="36"/>
        <v>A</v>
      </c>
      <c r="V44" s="22" t="str">
        <f t="shared" si="37"/>
        <v>308</v>
      </c>
      <c r="W44" s="23" t="str">
        <f t="shared" si="38"/>
        <v>77.00%</v>
      </c>
      <c r="X44" s="22" t="str">
        <f t="shared" si="39"/>
        <v>B</v>
      </c>
      <c r="Y44" s="22" t="str">
        <f t="shared" si="40"/>
        <v>Pass</v>
      </c>
      <c r="Z44" s="12"/>
      <c r="AA44" s="12"/>
      <c r="AB44" s="12"/>
    </row>
    <row r="45" ht="15.75" customHeight="1">
      <c r="A45" s="16" t="s">
        <v>113</v>
      </c>
      <c r="B45" s="17" t="s">
        <v>119</v>
      </c>
      <c r="C45" s="17" t="s">
        <v>120</v>
      </c>
      <c r="D45" s="16" t="s">
        <v>121</v>
      </c>
      <c r="E45" s="16">
        <v>3.0</v>
      </c>
      <c r="F45" s="27">
        <v>37.0</v>
      </c>
      <c r="G45" s="27">
        <v>33.0</v>
      </c>
      <c r="H45" s="27">
        <v>33.0</v>
      </c>
      <c r="I45" s="27">
        <v>35.0</v>
      </c>
      <c r="J45" s="19" t="s">
        <v>30</v>
      </c>
      <c r="K45" s="19" t="s">
        <v>30</v>
      </c>
      <c r="L45" s="20" t="str">
        <f t="shared" si="33"/>
        <v>138</v>
      </c>
      <c r="M45" s="20" t="str">
        <f t="shared" si="34"/>
        <v>B</v>
      </c>
      <c r="N45" s="28">
        <v>38.0</v>
      </c>
      <c r="O45" s="28">
        <v>31.0</v>
      </c>
      <c r="P45" s="28">
        <v>36.0</v>
      </c>
      <c r="Q45" s="28">
        <v>38.0</v>
      </c>
      <c r="R45" s="19" t="s">
        <v>30</v>
      </c>
      <c r="S45" s="19" t="s">
        <v>30</v>
      </c>
      <c r="T45" s="21" t="str">
        <f t="shared" si="35"/>
        <v>143</v>
      </c>
      <c r="U45" s="21" t="str">
        <f t="shared" si="36"/>
        <v>B</v>
      </c>
      <c r="V45" s="22" t="str">
        <f t="shared" si="37"/>
        <v>281</v>
      </c>
      <c r="W45" s="23" t="str">
        <f t="shared" si="38"/>
        <v>70.25%</v>
      </c>
      <c r="X45" s="22" t="str">
        <f t="shared" si="39"/>
        <v>B</v>
      </c>
      <c r="Y45" s="22" t="str">
        <f t="shared" si="40"/>
        <v>Pass</v>
      </c>
      <c r="Z45" s="12"/>
      <c r="AA45" s="12"/>
      <c r="AB45" s="12"/>
    </row>
    <row r="46" ht="15.75" customHeight="1">
      <c r="A46" s="24" t="s">
        <v>113</v>
      </c>
      <c r="B46" s="25" t="s">
        <v>122</v>
      </c>
      <c r="C46" s="25" t="s">
        <v>50</v>
      </c>
      <c r="D46" s="24" t="s">
        <v>123</v>
      </c>
      <c r="E46" s="24">
        <v>4.0</v>
      </c>
      <c r="F46" s="27">
        <v>37.0</v>
      </c>
      <c r="G46" s="27">
        <v>33.0</v>
      </c>
      <c r="H46" s="27">
        <v>35.0</v>
      </c>
      <c r="I46" s="27">
        <v>35.0</v>
      </c>
      <c r="J46" s="19" t="s">
        <v>30</v>
      </c>
      <c r="K46" s="19" t="s">
        <v>30</v>
      </c>
      <c r="L46" s="20" t="str">
        <f t="shared" si="33"/>
        <v>140</v>
      </c>
      <c r="M46" s="20" t="str">
        <f t="shared" si="34"/>
        <v>B</v>
      </c>
      <c r="N46" s="28">
        <v>46.0</v>
      </c>
      <c r="O46" s="28">
        <v>36.0</v>
      </c>
      <c r="P46" s="28">
        <v>39.0</v>
      </c>
      <c r="Q46" s="28">
        <v>46.0</v>
      </c>
      <c r="R46" s="19" t="s">
        <v>30</v>
      </c>
      <c r="S46" s="19" t="s">
        <v>30</v>
      </c>
      <c r="T46" s="21" t="str">
        <f t="shared" si="35"/>
        <v>167</v>
      </c>
      <c r="U46" s="21" t="str">
        <f t="shared" si="36"/>
        <v>A</v>
      </c>
      <c r="V46" s="22" t="str">
        <f t="shared" si="37"/>
        <v>307</v>
      </c>
      <c r="W46" s="23" t="str">
        <f t="shared" si="38"/>
        <v>76.75%</v>
      </c>
      <c r="X46" s="22" t="str">
        <f t="shared" si="39"/>
        <v>B</v>
      </c>
      <c r="Y46" s="22" t="str">
        <f t="shared" si="40"/>
        <v>Pass</v>
      </c>
      <c r="Z46" s="12"/>
      <c r="AA46" s="12"/>
      <c r="AB46" s="12"/>
    </row>
    <row r="47" ht="15.75" customHeight="1">
      <c r="A47" s="16" t="s">
        <v>113</v>
      </c>
      <c r="B47" s="17" t="s">
        <v>124</v>
      </c>
      <c r="C47" s="17" t="s">
        <v>125</v>
      </c>
      <c r="D47" s="16" t="s">
        <v>126</v>
      </c>
      <c r="E47" s="16">
        <v>5.0</v>
      </c>
      <c r="F47" s="27">
        <v>38.0</v>
      </c>
      <c r="G47" s="27">
        <v>38.0</v>
      </c>
      <c r="H47" s="27">
        <v>29.0</v>
      </c>
      <c r="I47" s="27">
        <v>37.0</v>
      </c>
      <c r="J47" s="19" t="s">
        <v>30</v>
      </c>
      <c r="K47" s="19" t="s">
        <v>30</v>
      </c>
      <c r="L47" s="20" t="str">
        <f t="shared" si="33"/>
        <v>142</v>
      </c>
      <c r="M47" s="20" t="str">
        <f t="shared" si="34"/>
        <v>B</v>
      </c>
      <c r="N47" s="28">
        <v>36.0</v>
      </c>
      <c r="O47" s="28">
        <v>43.0</v>
      </c>
      <c r="P47" s="28">
        <v>32.0</v>
      </c>
      <c r="Q47" s="28">
        <v>39.0</v>
      </c>
      <c r="R47" s="19" t="s">
        <v>30</v>
      </c>
      <c r="S47" s="19" t="s">
        <v>30</v>
      </c>
      <c r="T47" s="21" t="str">
        <f t="shared" si="35"/>
        <v>150</v>
      </c>
      <c r="U47" s="21" t="str">
        <f t="shared" si="36"/>
        <v>B</v>
      </c>
      <c r="V47" s="22" t="str">
        <f t="shared" si="37"/>
        <v>292</v>
      </c>
      <c r="W47" s="23" t="str">
        <f t="shared" si="38"/>
        <v>73.00%</v>
      </c>
      <c r="X47" s="22" t="str">
        <f t="shared" si="39"/>
        <v>B</v>
      </c>
      <c r="Y47" s="22" t="str">
        <f t="shared" si="40"/>
        <v>Pass</v>
      </c>
      <c r="Z47" s="12"/>
      <c r="AA47" s="12"/>
      <c r="AB47" s="12"/>
    </row>
    <row r="48" ht="15.75" customHeight="1">
      <c r="A48" s="24" t="s">
        <v>113</v>
      </c>
      <c r="B48" s="25" t="s">
        <v>31</v>
      </c>
      <c r="C48" s="25" t="s">
        <v>53</v>
      </c>
      <c r="D48" s="24" t="s">
        <v>127</v>
      </c>
      <c r="E48" s="24">
        <v>6.0</v>
      </c>
      <c r="F48" s="27">
        <v>36.0</v>
      </c>
      <c r="G48" s="27">
        <v>37.0</v>
      </c>
      <c r="H48" s="27">
        <v>17.0</v>
      </c>
      <c r="I48" s="27">
        <v>35.0</v>
      </c>
      <c r="J48" s="19" t="s">
        <v>30</v>
      </c>
      <c r="K48" s="19" t="s">
        <v>30</v>
      </c>
      <c r="L48" s="20" t="str">
        <f t="shared" si="33"/>
        <v>125</v>
      </c>
      <c r="M48" s="20" t="str">
        <f t="shared" si="34"/>
        <v>B</v>
      </c>
      <c r="N48" s="28">
        <v>40.0</v>
      </c>
      <c r="O48" s="28">
        <v>29.0</v>
      </c>
      <c r="P48" s="28">
        <v>38.0</v>
      </c>
      <c r="Q48" s="28">
        <v>42.0</v>
      </c>
      <c r="R48" s="19" t="s">
        <v>30</v>
      </c>
      <c r="S48" s="19" t="s">
        <v>30</v>
      </c>
      <c r="T48" s="21" t="str">
        <f t="shared" si="35"/>
        <v>149</v>
      </c>
      <c r="U48" s="21" t="str">
        <f t="shared" si="36"/>
        <v>B</v>
      </c>
      <c r="V48" s="22" t="str">
        <f t="shared" si="37"/>
        <v>274</v>
      </c>
      <c r="W48" s="23" t="str">
        <f t="shared" si="38"/>
        <v>68.50%</v>
      </c>
      <c r="X48" s="22" t="str">
        <f t="shared" si="39"/>
        <v>B</v>
      </c>
      <c r="Y48" s="22" t="str">
        <f t="shared" si="40"/>
        <v>Pass</v>
      </c>
      <c r="Z48" s="12"/>
      <c r="AA48" s="12"/>
      <c r="AB48" s="12"/>
    </row>
    <row r="49" ht="15.75" customHeight="1">
      <c r="A49" s="16" t="s">
        <v>113</v>
      </c>
      <c r="B49" s="17" t="s">
        <v>128</v>
      </c>
      <c r="C49" s="17" t="s">
        <v>101</v>
      </c>
      <c r="D49" s="16" t="s">
        <v>129</v>
      </c>
      <c r="E49" s="16">
        <v>7.0</v>
      </c>
      <c r="F49" s="27">
        <v>34.0</v>
      </c>
      <c r="G49" s="27">
        <v>25.0</v>
      </c>
      <c r="H49" s="27">
        <v>34.0</v>
      </c>
      <c r="I49" s="27">
        <v>20.0</v>
      </c>
      <c r="J49" s="19" t="s">
        <v>30</v>
      </c>
      <c r="K49" s="19" t="s">
        <v>30</v>
      </c>
      <c r="L49" s="20" t="str">
        <f t="shared" si="33"/>
        <v>113</v>
      </c>
      <c r="M49" s="20" t="str">
        <f t="shared" si="34"/>
        <v>C</v>
      </c>
      <c r="N49" s="28">
        <v>31.0</v>
      </c>
      <c r="O49" s="28">
        <v>25.0</v>
      </c>
      <c r="P49" s="28">
        <v>25.0</v>
      </c>
      <c r="Q49" s="28">
        <v>37.0</v>
      </c>
      <c r="R49" s="19" t="s">
        <v>30</v>
      </c>
      <c r="S49" s="19" t="s">
        <v>30</v>
      </c>
      <c r="T49" s="21" t="str">
        <f t="shared" si="35"/>
        <v>118</v>
      </c>
      <c r="U49" s="21" t="str">
        <f t="shared" si="36"/>
        <v>C</v>
      </c>
      <c r="V49" s="22" t="str">
        <f t="shared" si="37"/>
        <v>231</v>
      </c>
      <c r="W49" s="23" t="str">
        <f t="shared" si="38"/>
        <v>57.75%</v>
      </c>
      <c r="X49" s="22" t="str">
        <f t="shared" si="39"/>
        <v>C</v>
      </c>
      <c r="Y49" s="22" t="str">
        <f t="shared" si="40"/>
        <v>Pass</v>
      </c>
      <c r="Z49" s="12"/>
      <c r="AA49" s="12"/>
      <c r="AB49" s="12"/>
    </row>
    <row r="50" ht="15.75" customHeight="1">
      <c r="A50" s="24" t="s">
        <v>113</v>
      </c>
      <c r="B50" s="25" t="s">
        <v>130</v>
      </c>
      <c r="C50" s="25" t="s">
        <v>32</v>
      </c>
      <c r="D50" s="24" t="s">
        <v>131</v>
      </c>
      <c r="E50" s="24">
        <v>8.0</v>
      </c>
      <c r="F50" s="18"/>
      <c r="G50" s="18"/>
      <c r="H50" s="18"/>
      <c r="I50" s="18"/>
      <c r="J50" s="19" t="s">
        <v>30</v>
      </c>
      <c r="K50" s="19" t="s">
        <v>30</v>
      </c>
      <c r="L50" s="20" t="str">
        <f t="shared" si="33"/>
        <v>0</v>
      </c>
      <c r="M50" s="20" t="str">
        <f t="shared" si="34"/>
        <v>E</v>
      </c>
      <c r="N50" s="28">
        <v>25.0</v>
      </c>
      <c r="O50" s="28">
        <v>22.0</v>
      </c>
      <c r="P50" s="28">
        <v>22.0</v>
      </c>
      <c r="Q50" s="28">
        <v>23.0</v>
      </c>
      <c r="R50" s="19" t="s">
        <v>30</v>
      </c>
      <c r="S50" s="19" t="s">
        <v>30</v>
      </c>
      <c r="T50" s="21" t="str">
        <f t="shared" si="35"/>
        <v>92</v>
      </c>
      <c r="U50" s="21" t="str">
        <f t="shared" si="36"/>
        <v>C</v>
      </c>
      <c r="V50" s="22" t="str">
        <f t="shared" si="37"/>
        <v>92</v>
      </c>
      <c r="W50" s="23" t="str">
        <f t="shared" si="38"/>
        <v>23.00%</v>
      </c>
      <c r="X50" s="22" t="str">
        <f t="shared" si="39"/>
        <v>E</v>
      </c>
      <c r="Y50" s="22" t="str">
        <f t="shared" si="40"/>
        <v>Fail</v>
      </c>
      <c r="Z50" s="12"/>
      <c r="AA50" s="12"/>
      <c r="AB50" s="12"/>
    </row>
    <row r="51" ht="4.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12"/>
      <c r="AA51" s="12"/>
      <c r="AB51" s="12"/>
    </row>
    <row r="52" ht="19.5" customHeight="1">
      <c r="A52" s="15" t="s">
        <v>132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3"/>
      <c r="Z52" s="12"/>
      <c r="AA52" s="12"/>
      <c r="AB52" s="12"/>
    </row>
    <row r="53" ht="15.75" customHeight="1">
      <c r="A53" s="16" t="s">
        <v>133</v>
      </c>
      <c r="B53" s="17" t="s">
        <v>134</v>
      </c>
      <c r="C53" s="17" t="s">
        <v>135</v>
      </c>
      <c r="D53" s="16" t="s">
        <v>136</v>
      </c>
      <c r="E53" s="16">
        <v>1.0</v>
      </c>
      <c r="F53" s="27">
        <v>38.0</v>
      </c>
      <c r="G53" s="27">
        <v>46.0</v>
      </c>
      <c r="H53" s="27">
        <v>36.0</v>
      </c>
      <c r="I53" s="27">
        <v>40.0</v>
      </c>
      <c r="J53" s="27">
        <v>37.0</v>
      </c>
      <c r="K53" s="27">
        <v>32.0</v>
      </c>
      <c r="L53" s="20" t="str">
        <f t="shared" ref="L53:L69" si="41">IF(OR(A53="Class 1",A53="Class 2"),SUM(F53:H53),IF(OR(A53="Class 3",A53="Class 4",A53="Class 5"),SUM(F53:I53),SUM(F53:K53)))</f>
        <v>229</v>
      </c>
      <c r="M53" s="20" t="str">
        <f t="shared" ref="M53:M69" si="42">IF(L53="","",IF(L53/(IF(OR(A53="Class 1",A53="Class 2"),150,IF(OR(A53="Class 3",A53="Class 4",A53="Class 5"),200,300)))*100&gt;=81,"A",IF(L53/(IF(OR(A53="Class 1",A53="Class 2"),150,IF(OR(A53="Class 3",A53="Class 4",A53="Class 5"),200,300)))*100&gt;=61,"B",IF(L53/(IF(OR(A53="Class 1",A53="Class 2"),150,IF(OR(A53="Class 3",A53="Class 4",A53="Class 5"),200,300)))*100&gt;=41,"C",IF(L53/(IF(OR(A53="Class 1",A53="Class 2"),150,IF(OR(A53="Class 3",A53="Class 4",A53="Class 5"),200,300)))*100&gt;=33,"D","E")))))</f>
        <v>B</v>
      </c>
      <c r="N53" s="28">
        <v>43.0</v>
      </c>
      <c r="O53" s="28">
        <v>46.0</v>
      </c>
      <c r="P53" s="28">
        <v>49.0</v>
      </c>
      <c r="Q53" s="28">
        <v>43.0</v>
      </c>
      <c r="R53" s="28">
        <v>44.0</v>
      </c>
      <c r="S53" s="28">
        <v>42.0</v>
      </c>
      <c r="T53" s="21" t="str">
        <f t="shared" ref="T53:T69" si="43">IF(OR(A53="Class 1",A53="Class 2"),SUM(N53:P53),IF(OR(A53="Class 3",A53="Class 4",A53="Class 5"),SUM(N53:Q53),SUM(N53:S53)))</f>
        <v>267</v>
      </c>
      <c r="U53" s="21" t="str">
        <f t="shared" ref="U53:U69" si="44">IF(T53="","",IF(T53/(IF(OR(A53="Class 1",A53="Class 2"),150,IF(OR(A53="Class 3",A53="Class 4",A53="Class 5"),200,300)))*100&gt;=81,"A",IF(T53/(IF(OR(A53="Class 1",A53="Class 2"),150,IF(OR(A53="Class 3",A53="Class 4",A53="Class 5"),200,300)))*100&gt;=61,"B",IF(T53/(IF(OR(A53="Class 1",A53="Class 2"),150,IF(OR(A53="Class 3",A53="Class 4",A53="Class 5"),200,300)))*100&gt;=41,"C",IF(T53/(IF(OR(A53="Class 1",A53="Class 2"),150,IF(OR(A53="Class 3",A53="Class 4",A53="Class 5"),200,300)))*100&gt;=33,"D","E")))))</f>
        <v>A</v>
      </c>
      <c r="V53" s="22" t="str">
        <f t="shared" ref="V53:V69" si="45">IF(AND(L53&lt;&gt;"",T53&lt;&gt;""),L53+T53,"")</f>
        <v>496</v>
      </c>
      <c r="W53" s="23" t="str">
        <f t="shared" ref="W53:W69" si="46">IF(V53="","",ROUND(V53/(IF(OR(A53="Class 1",A53="Class 2"),150,IF(OR(A53="Class 3",A53="Class 4",A53="Class 5"),200,300))*2)*100,2))</f>
        <v>82.67%</v>
      </c>
      <c r="X53" s="22" t="str">
        <f t="shared" ref="X53:X69" si="47">IF(W53="","",IF(W53&gt;=81,"A",IF(W53&gt;=61,"B",IF(W53&gt;=41,"C",IF(W53&gt;=33,"D","E")))))</f>
        <v>A</v>
      </c>
      <c r="Y53" s="22" t="str">
        <f t="shared" ref="Y53:Y69" si="48">IF(W53="","",IF(W53&lt;33,"Fail",IF(IF(OR(A53="Class 1",A53="Class 2"),MIN(F53+N53,G53+O53,H53+P53),IF(OR(A53="Class 3",A53="Class 4",A53="Class 5"),MIN(F53+N53,G53+O53,H53+P53,I53+Q53),MIN(F53+N53,G53+O53,H53+P53,I53+Q53,J53+R53,K53+S53)))&lt;17,"Fail","Pass")))</f>
        <v>Pass</v>
      </c>
      <c r="Z53" s="12"/>
      <c r="AA53" s="12"/>
      <c r="AB53" s="12"/>
    </row>
    <row r="54" ht="15.75" customHeight="1">
      <c r="A54" s="24" t="s">
        <v>133</v>
      </c>
      <c r="B54" s="25" t="s">
        <v>137</v>
      </c>
      <c r="C54" s="25" t="s">
        <v>125</v>
      </c>
      <c r="D54" s="24" t="s">
        <v>138</v>
      </c>
      <c r="E54" s="24">
        <v>2.0</v>
      </c>
      <c r="F54" s="27">
        <v>40.0</v>
      </c>
      <c r="G54" s="27">
        <v>46.0</v>
      </c>
      <c r="H54" s="27">
        <v>31.0</v>
      </c>
      <c r="I54" s="27">
        <v>32.0</v>
      </c>
      <c r="J54" s="27">
        <v>39.0</v>
      </c>
      <c r="K54" s="27">
        <v>40.0</v>
      </c>
      <c r="L54" s="20" t="str">
        <f t="shared" si="41"/>
        <v>228</v>
      </c>
      <c r="M54" s="20" t="str">
        <f t="shared" si="42"/>
        <v>B</v>
      </c>
      <c r="N54" s="28">
        <v>44.0</v>
      </c>
      <c r="O54" s="28">
        <v>46.0</v>
      </c>
      <c r="P54" s="28">
        <v>49.0</v>
      </c>
      <c r="Q54" s="28">
        <v>49.0</v>
      </c>
      <c r="R54" s="28">
        <v>48.0</v>
      </c>
      <c r="S54" s="28">
        <v>43.0</v>
      </c>
      <c r="T54" s="21" t="str">
        <f t="shared" si="43"/>
        <v>279</v>
      </c>
      <c r="U54" s="21" t="str">
        <f t="shared" si="44"/>
        <v>A</v>
      </c>
      <c r="V54" s="22" t="str">
        <f t="shared" si="45"/>
        <v>507</v>
      </c>
      <c r="W54" s="23" t="str">
        <f t="shared" si="46"/>
        <v>84.50%</v>
      </c>
      <c r="X54" s="22" t="str">
        <f t="shared" si="47"/>
        <v>A</v>
      </c>
      <c r="Y54" s="22" t="str">
        <f t="shared" si="48"/>
        <v>Pass</v>
      </c>
      <c r="Z54" s="12"/>
      <c r="AA54" s="12"/>
      <c r="AB54" s="12"/>
    </row>
    <row r="55" ht="15.75" customHeight="1">
      <c r="A55" s="16" t="s">
        <v>133</v>
      </c>
      <c r="B55" s="17" t="s">
        <v>139</v>
      </c>
      <c r="C55" s="17" t="s">
        <v>117</v>
      </c>
      <c r="D55" s="16" t="s">
        <v>140</v>
      </c>
      <c r="E55" s="16">
        <v>3.0</v>
      </c>
      <c r="F55" s="27">
        <v>31.0</v>
      </c>
      <c r="G55" s="27">
        <v>47.0</v>
      </c>
      <c r="H55" s="27">
        <v>28.0</v>
      </c>
      <c r="I55" s="27">
        <v>29.0</v>
      </c>
      <c r="J55" s="27">
        <v>40.0</v>
      </c>
      <c r="K55" s="27">
        <v>33.0</v>
      </c>
      <c r="L55" s="20" t="str">
        <f t="shared" si="41"/>
        <v>208</v>
      </c>
      <c r="M55" s="20" t="str">
        <f t="shared" si="42"/>
        <v>B</v>
      </c>
      <c r="N55" s="28">
        <v>42.0</v>
      </c>
      <c r="O55" s="28">
        <v>34.0</v>
      </c>
      <c r="P55" s="28">
        <v>48.0</v>
      </c>
      <c r="Q55" s="28">
        <v>43.0</v>
      </c>
      <c r="R55" s="28">
        <v>42.0</v>
      </c>
      <c r="S55" s="28">
        <v>43.0</v>
      </c>
      <c r="T55" s="21" t="str">
        <f t="shared" si="43"/>
        <v>252</v>
      </c>
      <c r="U55" s="21" t="str">
        <f t="shared" si="44"/>
        <v>A</v>
      </c>
      <c r="V55" s="22" t="str">
        <f t="shared" si="45"/>
        <v>460</v>
      </c>
      <c r="W55" s="23" t="str">
        <f t="shared" si="46"/>
        <v>76.67%</v>
      </c>
      <c r="X55" s="22" t="str">
        <f t="shared" si="47"/>
        <v>B</v>
      </c>
      <c r="Y55" s="22" t="str">
        <f t="shared" si="48"/>
        <v>Pass</v>
      </c>
      <c r="Z55" s="12"/>
      <c r="AA55" s="12"/>
      <c r="AB55" s="12"/>
    </row>
    <row r="56" ht="15.75" customHeight="1">
      <c r="A56" s="24" t="s">
        <v>133</v>
      </c>
      <c r="B56" s="25" t="s">
        <v>141</v>
      </c>
      <c r="C56" s="25" t="s">
        <v>78</v>
      </c>
      <c r="D56" s="24" t="s">
        <v>142</v>
      </c>
      <c r="E56" s="24">
        <v>4.0</v>
      </c>
      <c r="F56" s="27">
        <v>36.0</v>
      </c>
      <c r="G56" s="27">
        <v>46.0</v>
      </c>
      <c r="H56" s="27">
        <v>28.0</v>
      </c>
      <c r="I56" s="27">
        <v>41.0</v>
      </c>
      <c r="J56" s="27">
        <v>37.0</v>
      </c>
      <c r="K56" s="27">
        <v>35.0</v>
      </c>
      <c r="L56" s="20" t="str">
        <f t="shared" si="41"/>
        <v>223</v>
      </c>
      <c r="M56" s="20" t="str">
        <f t="shared" si="42"/>
        <v>B</v>
      </c>
      <c r="N56" s="28">
        <v>43.0</v>
      </c>
      <c r="O56" s="28">
        <v>45.0</v>
      </c>
      <c r="P56" s="28">
        <v>44.0</v>
      </c>
      <c r="Q56" s="28">
        <v>37.0</v>
      </c>
      <c r="R56" s="28">
        <v>38.0</v>
      </c>
      <c r="S56" s="28">
        <v>39.0</v>
      </c>
      <c r="T56" s="21" t="str">
        <f t="shared" si="43"/>
        <v>246</v>
      </c>
      <c r="U56" s="21" t="str">
        <f t="shared" si="44"/>
        <v>A</v>
      </c>
      <c r="V56" s="22" t="str">
        <f t="shared" si="45"/>
        <v>469</v>
      </c>
      <c r="W56" s="23" t="str">
        <f t="shared" si="46"/>
        <v>78.17%</v>
      </c>
      <c r="X56" s="22" t="str">
        <f t="shared" si="47"/>
        <v>B</v>
      </c>
      <c r="Y56" s="22" t="str">
        <f t="shared" si="48"/>
        <v>Pass</v>
      </c>
      <c r="Z56" s="12"/>
      <c r="AA56" s="12"/>
      <c r="AB56" s="12"/>
    </row>
    <row r="57" ht="15.75" customHeight="1">
      <c r="A57" s="16" t="s">
        <v>133</v>
      </c>
      <c r="B57" s="17" t="s">
        <v>103</v>
      </c>
      <c r="C57" s="17" t="s">
        <v>143</v>
      </c>
      <c r="D57" s="16" t="s">
        <v>144</v>
      </c>
      <c r="E57" s="16">
        <v>5.0</v>
      </c>
      <c r="F57" s="27">
        <v>25.0</v>
      </c>
      <c r="G57" s="27">
        <v>44.0</v>
      </c>
      <c r="H57" s="27">
        <v>24.0</v>
      </c>
      <c r="I57" s="27">
        <v>38.0</v>
      </c>
      <c r="J57" s="27">
        <v>26.0</v>
      </c>
      <c r="K57" s="27">
        <v>21.0</v>
      </c>
      <c r="L57" s="20" t="str">
        <f t="shared" si="41"/>
        <v>178</v>
      </c>
      <c r="M57" s="20" t="str">
        <f t="shared" si="42"/>
        <v>C</v>
      </c>
      <c r="N57" s="28">
        <v>35.0</v>
      </c>
      <c r="O57" s="28">
        <v>41.0</v>
      </c>
      <c r="P57" s="28">
        <v>34.0</v>
      </c>
      <c r="Q57" s="28">
        <v>43.0</v>
      </c>
      <c r="R57" s="28">
        <v>32.0</v>
      </c>
      <c r="S57" s="28">
        <v>36.0</v>
      </c>
      <c r="T57" s="21" t="str">
        <f t="shared" si="43"/>
        <v>221</v>
      </c>
      <c r="U57" s="21" t="str">
        <f t="shared" si="44"/>
        <v>B</v>
      </c>
      <c r="V57" s="22" t="str">
        <f t="shared" si="45"/>
        <v>399</v>
      </c>
      <c r="W57" s="23" t="str">
        <f t="shared" si="46"/>
        <v>66.50%</v>
      </c>
      <c r="X57" s="22" t="str">
        <f t="shared" si="47"/>
        <v>B</v>
      </c>
      <c r="Y57" s="22" t="str">
        <f t="shared" si="48"/>
        <v>Pass</v>
      </c>
      <c r="Z57" s="12"/>
      <c r="AA57" s="12"/>
      <c r="AB57" s="12"/>
    </row>
    <row r="58" ht="15.75" customHeight="1">
      <c r="A58" s="24" t="s">
        <v>133</v>
      </c>
      <c r="B58" s="25" t="s">
        <v>145</v>
      </c>
      <c r="C58" s="25" t="s">
        <v>146</v>
      </c>
      <c r="D58" s="24" t="s">
        <v>147</v>
      </c>
      <c r="E58" s="24">
        <v>6.0</v>
      </c>
      <c r="F58" s="27">
        <v>26.0</v>
      </c>
      <c r="G58" s="27">
        <v>44.0</v>
      </c>
      <c r="H58" s="27">
        <v>26.0</v>
      </c>
      <c r="I58" s="27">
        <v>32.0</v>
      </c>
      <c r="J58" s="27">
        <v>40.0</v>
      </c>
      <c r="K58" s="27">
        <v>22.0</v>
      </c>
      <c r="L58" s="20" t="str">
        <f t="shared" si="41"/>
        <v>190</v>
      </c>
      <c r="M58" s="20" t="str">
        <f t="shared" si="42"/>
        <v>B</v>
      </c>
      <c r="N58" s="28">
        <v>38.0</v>
      </c>
      <c r="O58" s="28">
        <v>37.0</v>
      </c>
      <c r="P58" s="28">
        <v>35.0</v>
      </c>
      <c r="Q58" s="28">
        <v>43.0</v>
      </c>
      <c r="R58" s="28">
        <v>40.0</v>
      </c>
      <c r="S58" s="28">
        <v>38.0</v>
      </c>
      <c r="T58" s="21" t="str">
        <f t="shared" si="43"/>
        <v>231</v>
      </c>
      <c r="U58" s="21" t="str">
        <f t="shared" si="44"/>
        <v>B</v>
      </c>
      <c r="V58" s="22" t="str">
        <f t="shared" si="45"/>
        <v>421</v>
      </c>
      <c r="W58" s="23" t="str">
        <f t="shared" si="46"/>
        <v>70.17%</v>
      </c>
      <c r="X58" s="22" t="str">
        <f t="shared" si="47"/>
        <v>B</v>
      </c>
      <c r="Y58" s="22" t="str">
        <f t="shared" si="48"/>
        <v>Pass</v>
      </c>
      <c r="Z58" s="12"/>
      <c r="AA58" s="12"/>
      <c r="AB58" s="12"/>
    </row>
    <row r="59" ht="15.75" customHeight="1">
      <c r="A59" s="16" t="s">
        <v>133</v>
      </c>
      <c r="B59" s="17" t="s">
        <v>148</v>
      </c>
      <c r="C59" s="17" t="s">
        <v>149</v>
      </c>
      <c r="D59" s="16" t="s">
        <v>150</v>
      </c>
      <c r="E59" s="16">
        <v>7.0</v>
      </c>
      <c r="F59" s="27">
        <v>19.0</v>
      </c>
      <c r="G59" s="27">
        <v>43.0</v>
      </c>
      <c r="H59" s="27">
        <v>28.0</v>
      </c>
      <c r="I59" s="27">
        <v>34.0</v>
      </c>
      <c r="J59" s="27">
        <v>32.0</v>
      </c>
      <c r="K59" s="27">
        <v>26.0</v>
      </c>
      <c r="L59" s="20" t="str">
        <f t="shared" si="41"/>
        <v>182</v>
      </c>
      <c r="M59" s="20" t="str">
        <f t="shared" si="42"/>
        <v>C</v>
      </c>
      <c r="N59" s="28">
        <v>36.0</v>
      </c>
      <c r="O59" s="28">
        <v>40.0</v>
      </c>
      <c r="P59" s="28">
        <v>49.0</v>
      </c>
      <c r="Q59" s="28">
        <v>42.0</v>
      </c>
      <c r="R59" s="28">
        <v>37.0</v>
      </c>
      <c r="S59" s="28">
        <v>36.0</v>
      </c>
      <c r="T59" s="21" t="str">
        <f t="shared" si="43"/>
        <v>240</v>
      </c>
      <c r="U59" s="21" t="str">
        <f t="shared" si="44"/>
        <v>B</v>
      </c>
      <c r="V59" s="22" t="str">
        <f t="shared" si="45"/>
        <v>422</v>
      </c>
      <c r="W59" s="23" t="str">
        <f t="shared" si="46"/>
        <v>70.33%</v>
      </c>
      <c r="X59" s="22" t="str">
        <f t="shared" si="47"/>
        <v>B</v>
      </c>
      <c r="Y59" s="22" t="str">
        <f t="shared" si="48"/>
        <v>Pass</v>
      </c>
      <c r="Z59" s="12"/>
      <c r="AA59" s="12"/>
      <c r="AB59" s="12"/>
    </row>
    <row r="60" ht="15.75" customHeight="1">
      <c r="A60" s="24" t="s">
        <v>133</v>
      </c>
      <c r="B60" s="25" t="s">
        <v>151</v>
      </c>
      <c r="C60" s="25" t="s">
        <v>152</v>
      </c>
      <c r="D60" s="24" t="s">
        <v>153</v>
      </c>
      <c r="E60" s="24">
        <v>8.0</v>
      </c>
      <c r="F60" s="27">
        <v>22.0</v>
      </c>
      <c r="G60" s="27">
        <v>39.0</v>
      </c>
      <c r="H60" s="27">
        <v>35.0</v>
      </c>
      <c r="I60" s="27">
        <v>36.0</v>
      </c>
      <c r="J60" s="27">
        <v>32.0</v>
      </c>
      <c r="K60" s="27">
        <v>31.0</v>
      </c>
      <c r="L60" s="20" t="str">
        <f t="shared" si="41"/>
        <v>195</v>
      </c>
      <c r="M60" s="20" t="str">
        <f t="shared" si="42"/>
        <v>B</v>
      </c>
      <c r="N60" s="28">
        <v>38.0</v>
      </c>
      <c r="O60" s="28">
        <v>39.0</v>
      </c>
      <c r="P60" s="28">
        <v>31.0</v>
      </c>
      <c r="Q60" s="28">
        <v>35.0</v>
      </c>
      <c r="R60" s="28">
        <v>40.0</v>
      </c>
      <c r="S60" s="28">
        <v>32.0</v>
      </c>
      <c r="T60" s="21" t="str">
        <f t="shared" si="43"/>
        <v>215</v>
      </c>
      <c r="U60" s="21" t="str">
        <f t="shared" si="44"/>
        <v>B</v>
      </c>
      <c r="V60" s="22" t="str">
        <f t="shared" si="45"/>
        <v>410</v>
      </c>
      <c r="W60" s="23" t="str">
        <f t="shared" si="46"/>
        <v>68.33%</v>
      </c>
      <c r="X60" s="22" t="str">
        <f t="shared" si="47"/>
        <v>B</v>
      </c>
      <c r="Y60" s="22" t="str">
        <f t="shared" si="48"/>
        <v>Pass</v>
      </c>
      <c r="Z60" s="12"/>
      <c r="AA60" s="12"/>
      <c r="AB60" s="12"/>
    </row>
    <row r="61" ht="15.75" customHeight="1">
      <c r="A61" s="16" t="s">
        <v>133</v>
      </c>
      <c r="B61" s="17" t="s">
        <v>154</v>
      </c>
      <c r="C61" s="17" t="s">
        <v>155</v>
      </c>
      <c r="D61" s="16" t="s">
        <v>156</v>
      </c>
      <c r="E61" s="16">
        <v>9.0</v>
      </c>
      <c r="F61" s="27">
        <v>44.0</v>
      </c>
      <c r="G61" s="27">
        <v>46.0</v>
      </c>
      <c r="H61" s="27">
        <v>40.0</v>
      </c>
      <c r="I61" s="27">
        <v>39.0</v>
      </c>
      <c r="J61" s="27">
        <v>36.0</v>
      </c>
      <c r="K61" s="27">
        <v>40.0</v>
      </c>
      <c r="L61" s="20" t="str">
        <f t="shared" si="41"/>
        <v>245</v>
      </c>
      <c r="M61" s="20" t="str">
        <f t="shared" si="42"/>
        <v>A</v>
      </c>
      <c r="N61" s="28">
        <v>44.0</v>
      </c>
      <c r="O61" s="28">
        <v>35.0</v>
      </c>
      <c r="P61" s="28">
        <v>47.0</v>
      </c>
      <c r="Q61" s="28">
        <v>41.0</v>
      </c>
      <c r="R61" s="28">
        <v>42.0</v>
      </c>
      <c r="S61" s="28">
        <v>44.0</v>
      </c>
      <c r="T61" s="21" t="str">
        <f t="shared" si="43"/>
        <v>253</v>
      </c>
      <c r="U61" s="21" t="str">
        <f t="shared" si="44"/>
        <v>A</v>
      </c>
      <c r="V61" s="22" t="str">
        <f t="shared" si="45"/>
        <v>498</v>
      </c>
      <c r="W61" s="23" t="str">
        <f t="shared" si="46"/>
        <v>83.00%</v>
      </c>
      <c r="X61" s="22" t="str">
        <f t="shared" si="47"/>
        <v>A</v>
      </c>
      <c r="Y61" s="22" t="str">
        <f t="shared" si="48"/>
        <v>Pass</v>
      </c>
      <c r="Z61" s="12"/>
      <c r="AA61" s="12"/>
      <c r="AB61" s="12"/>
    </row>
    <row r="62" ht="15.75" customHeight="1">
      <c r="A62" s="24" t="s">
        <v>133</v>
      </c>
      <c r="B62" s="25" t="s">
        <v>157</v>
      </c>
      <c r="C62" s="25" t="s">
        <v>158</v>
      </c>
      <c r="D62" s="24" t="s">
        <v>159</v>
      </c>
      <c r="E62" s="24">
        <v>10.0</v>
      </c>
      <c r="F62" s="27">
        <v>24.0</v>
      </c>
      <c r="G62" s="27">
        <v>45.0</v>
      </c>
      <c r="H62" s="27">
        <v>25.0</v>
      </c>
      <c r="I62" s="27">
        <v>37.0</v>
      </c>
      <c r="J62" s="27">
        <v>39.0</v>
      </c>
      <c r="K62" s="27">
        <v>26.0</v>
      </c>
      <c r="L62" s="20" t="str">
        <f t="shared" si="41"/>
        <v>196</v>
      </c>
      <c r="M62" s="20" t="str">
        <f t="shared" si="42"/>
        <v>B</v>
      </c>
      <c r="N62" s="28">
        <v>42.0</v>
      </c>
      <c r="O62" s="28">
        <v>41.0</v>
      </c>
      <c r="P62" s="28">
        <v>44.0</v>
      </c>
      <c r="Q62" s="28">
        <v>39.0</v>
      </c>
      <c r="R62" s="28">
        <v>42.0</v>
      </c>
      <c r="S62" s="28">
        <v>42.0</v>
      </c>
      <c r="T62" s="21" t="str">
        <f t="shared" si="43"/>
        <v>250</v>
      </c>
      <c r="U62" s="21" t="str">
        <f t="shared" si="44"/>
        <v>A</v>
      </c>
      <c r="V62" s="22" t="str">
        <f t="shared" si="45"/>
        <v>446</v>
      </c>
      <c r="W62" s="23" t="str">
        <f t="shared" si="46"/>
        <v>74.33%</v>
      </c>
      <c r="X62" s="22" t="str">
        <f t="shared" si="47"/>
        <v>B</v>
      </c>
      <c r="Y62" s="22" t="str">
        <f t="shared" si="48"/>
        <v>Pass</v>
      </c>
      <c r="Z62" s="12"/>
      <c r="AA62" s="12"/>
      <c r="AB62" s="12"/>
    </row>
    <row r="63" ht="15.75" customHeight="1">
      <c r="A63" s="16" t="s">
        <v>133</v>
      </c>
      <c r="B63" s="17" t="s">
        <v>160</v>
      </c>
      <c r="C63" s="17" t="s">
        <v>161</v>
      </c>
      <c r="D63" s="16" t="s">
        <v>162</v>
      </c>
      <c r="E63" s="16">
        <v>11.0</v>
      </c>
      <c r="F63" s="27">
        <v>23.0</v>
      </c>
      <c r="G63" s="27">
        <v>44.0</v>
      </c>
      <c r="H63" s="27">
        <v>26.0</v>
      </c>
      <c r="I63" s="27">
        <v>37.0</v>
      </c>
      <c r="J63" s="27">
        <v>38.0</v>
      </c>
      <c r="K63" s="27">
        <v>32.0</v>
      </c>
      <c r="L63" s="20" t="str">
        <f t="shared" si="41"/>
        <v>200</v>
      </c>
      <c r="M63" s="20" t="str">
        <f t="shared" si="42"/>
        <v>B</v>
      </c>
      <c r="N63" s="28">
        <v>37.0</v>
      </c>
      <c r="O63" s="28">
        <v>41.0</v>
      </c>
      <c r="P63" s="28">
        <v>41.0</v>
      </c>
      <c r="Q63" s="28">
        <v>41.0</v>
      </c>
      <c r="R63" s="28">
        <v>40.0</v>
      </c>
      <c r="S63" s="28">
        <v>41.0</v>
      </c>
      <c r="T63" s="21" t="str">
        <f t="shared" si="43"/>
        <v>241</v>
      </c>
      <c r="U63" s="21" t="str">
        <f t="shared" si="44"/>
        <v>B</v>
      </c>
      <c r="V63" s="22" t="str">
        <f t="shared" si="45"/>
        <v>441</v>
      </c>
      <c r="W63" s="23" t="str">
        <f t="shared" si="46"/>
        <v>73.50%</v>
      </c>
      <c r="X63" s="22" t="str">
        <f t="shared" si="47"/>
        <v>B</v>
      </c>
      <c r="Y63" s="22" t="str">
        <f t="shared" si="48"/>
        <v>Pass</v>
      </c>
      <c r="Z63" s="12"/>
      <c r="AA63" s="12"/>
      <c r="AB63" s="12"/>
    </row>
    <row r="64" ht="15.75" customHeight="1">
      <c r="A64" s="24" t="s">
        <v>133</v>
      </c>
      <c r="B64" s="25" t="s">
        <v>163</v>
      </c>
      <c r="C64" s="25" t="s">
        <v>164</v>
      </c>
      <c r="D64" s="24" t="s">
        <v>165</v>
      </c>
      <c r="E64" s="24">
        <v>12.0</v>
      </c>
      <c r="F64" s="27">
        <v>28.0</v>
      </c>
      <c r="G64" s="27">
        <v>35.0</v>
      </c>
      <c r="H64" s="27">
        <v>30.0</v>
      </c>
      <c r="I64" s="27">
        <v>37.0</v>
      </c>
      <c r="J64" s="27">
        <v>40.0</v>
      </c>
      <c r="K64" s="27">
        <v>22.0</v>
      </c>
      <c r="L64" s="20" t="str">
        <f t="shared" si="41"/>
        <v>192</v>
      </c>
      <c r="M64" s="20" t="str">
        <f t="shared" si="42"/>
        <v>B</v>
      </c>
      <c r="N64" s="28">
        <v>37.0</v>
      </c>
      <c r="O64" s="28">
        <v>41.0</v>
      </c>
      <c r="P64" s="28">
        <v>0.0</v>
      </c>
      <c r="Q64" s="28">
        <v>41.0</v>
      </c>
      <c r="R64" s="28">
        <v>40.0</v>
      </c>
      <c r="S64" s="28">
        <v>41.0</v>
      </c>
      <c r="T64" s="21" t="str">
        <f t="shared" si="43"/>
        <v>200</v>
      </c>
      <c r="U64" s="21" t="str">
        <f t="shared" si="44"/>
        <v>B</v>
      </c>
      <c r="V64" s="22" t="str">
        <f t="shared" si="45"/>
        <v>392</v>
      </c>
      <c r="W64" s="23" t="str">
        <f t="shared" si="46"/>
        <v>65.33%</v>
      </c>
      <c r="X64" s="22" t="str">
        <f t="shared" si="47"/>
        <v>B</v>
      </c>
      <c r="Y64" s="22" t="str">
        <f t="shared" si="48"/>
        <v>Pass</v>
      </c>
      <c r="Z64" s="12"/>
      <c r="AA64" s="12"/>
      <c r="AB64" s="12"/>
    </row>
    <row r="65" ht="15.75" customHeight="1">
      <c r="A65" s="16" t="s">
        <v>133</v>
      </c>
      <c r="B65" s="17" t="s">
        <v>166</v>
      </c>
      <c r="C65" s="17" t="s">
        <v>167</v>
      </c>
      <c r="D65" s="16" t="s">
        <v>168</v>
      </c>
      <c r="E65" s="16">
        <v>13.0</v>
      </c>
      <c r="F65" s="27">
        <v>23.0</v>
      </c>
      <c r="G65" s="27">
        <v>26.0</v>
      </c>
      <c r="H65" s="27">
        <v>17.0</v>
      </c>
      <c r="I65" s="27">
        <v>33.0</v>
      </c>
      <c r="J65" s="27">
        <v>27.0</v>
      </c>
      <c r="K65" s="27">
        <v>27.0</v>
      </c>
      <c r="L65" s="20" t="str">
        <f t="shared" si="41"/>
        <v>153</v>
      </c>
      <c r="M65" s="20" t="str">
        <f t="shared" si="42"/>
        <v>C</v>
      </c>
      <c r="N65" s="28">
        <v>28.0</v>
      </c>
      <c r="O65" s="28">
        <v>42.0</v>
      </c>
      <c r="P65" s="28">
        <v>40.0</v>
      </c>
      <c r="Q65" s="28">
        <v>22.0</v>
      </c>
      <c r="R65" s="28">
        <v>38.0</v>
      </c>
      <c r="S65" s="28">
        <v>26.0</v>
      </c>
      <c r="T65" s="21" t="str">
        <f t="shared" si="43"/>
        <v>196</v>
      </c>
      <c r="U65" s="21" t="str">
        <f t="shared" si="44"/>
        <v>B</v>
      </c>
      <c r="V65" s="22" t="str">
        <f t="shared" si="45"/>
        <v>349</v>
      </c>
      <c r="W65" s="23" t="str">
        <f t="shared" si="46"/>
        <v>58.17%</v>
      </c>
      <c r="X65" s="22" t="str">
        <f t="shared" si="47"/>
        <v>C</v>
      </c>
      <c r="Y65" s="22" t="str">
        <f t="shared" si="48"/>
        <v>Pass</v>
      </c>
      <c r="Z65" s="12"/>
      <c r="AA65" s="12"/>
      <c r="AB65" s="12"/>
    </row>
    <row r="66" ht="15.75" customHeight="1">
      <c r="A66" s="24" t="s">
        <v>133</v>
      </c>
      <c r="B66" s="25" t="s">
        <v>169</v>
      </c>
      <c r="C66" s="25" t="s">
        <v>170</v>
      </c>
      <c r="D66" s="24" t="s">
        <v>171</v>
      </c>
      <c r="E66" s="24">
        <v>14.0</v>
      </c>
      <c r="F66" s="27">
        <v>18.0</v>
      </c>
      <c r="G66" s="27">
        <v>31.0</v>
      </c>
      <c r="H66" s="27">
        <v>32.0</v>
      </c>
      <c r="I66" s="27">
        <v>33.0</v>
      </c>
      <c r="J66" s="27">
        <v>31.0</v>
      </c>
      <c r="K66" s="27">
        <v>28.0</v>
      </c>
      <c r="L66" s="20" t="str">
        <f t="shared" si="41"/>
        <v>173</v>
      </c>
      <c r="M66" s="20" t="str">
        <f t="shared" si="42"/>
        <v>C</v>
      </c>
      <c r="N66" s="28">
        <v>29.0</v>
      </c>
      <c r="O66" s="28">
        <v>40.0</v>
      </c>
      <c r="P66" s="28">
        <v>43.0</v>
      </c>
      <c r="Q66" s="28">
        <v>32.0</v>
      </c>
      <c r="R66" s="28">
        <v>36.0</v>
      </c>
      <c r="S66" s="28">
        <v>32.0</v>
      </c>
      <c r="T66" s="21" t="str">
        <f t="shared" si="43"/>
        <v>212</v>
      </c>
      <c r="U66" s="21" t="str">
        <f t="shared" si="44"/>
        <v>B</v>
      </c>
      <c r="V66" s="22" t="str">
        <f t="shared" si="45"/>
        <v>385</v>
      </c>
      <c r="W66" s="23" t="str">
        <f t="shared" si="46"/>
        <v>64.17%</v>
      </c>
      <c r="X66" s="22" t="str">
        <f t="shared" si="47"/>
        <v>B</v>
      </c>
      <c r="Y66" s="22" t="str">
        <f t="shared" si="48"/>
        <v>Pass</v>
      </c>
      <c r="Z66" s="12"/>
      <c r="AA66" s="12"/>
      <c r="AB66" s="12"/>
    </row>
    <row r="67" ht="15.75" customHeight="1">
      <c r="A67" s="16" t="s">
        <v>133</v>
      </c>
      <c r="B67" s="17" t="s">
        <v>172</v>
      </c>
      <c r="C67" s="17" t="s">
        <v>173</v>
      </c>
      <c r="D67" s="16" t="s">
        <v>174</v>
      </c>
      <c r="E67" s="16">
        <v>15.0</v>
      </c>
      <c r="F67" s="27">
        <v>25.0</v>
      </c>
      <c r="G67" s="27">
        <v>38.0</v>
      </c>
      <c r="H67" s="27">
        <v>28.0</v>
      </c>
      <c r="I67" s="27">
        <v>37.0</v>
      </c>
      <c r="J67" s="27">
        <v>43.0</v>
      </c>
      <c r="K67" s="27">
        <v>38.0</v>
      </c>
      <c r="L67" s="20" t="str">
        <f t="shared" si="41"/>
        <v>209</v>
      </c>
      <c r="M67" s="20" t="str">
        <f t="shared" si="42"/>
        <v>B</v>
      </c>
      <c r="N67" s="28">
        <v>36.0</v>
      </c>
      <c r="O67" s="28">
        <v>40.0</v>
      </c>
      <c r="P67" s="28">
        <v>44.0</v>
      </c>
      <c r="Q67" s="28">
        <v>43.0</v>
      </c>
      <c r="R67" s="28">
        <v>42.0</v>
      </c>
      <c r="S67" s="28">
        <v>45.0</v>
      </c>
      <c r="T67" s="21" t="str">
        <f t="shared" si="43"/>
        <v>250</v>
      </c>
      <c r="U67" s="21" t="str">
        <f t="shared" si="44"/>
        <v>A</v>
      </c>
      <c r="V67" s="22" t="str">
        <f t="shared" si="45"/>
        <v>459</v>
      </c>
      <c r="W67" s="23" t="str">
        <f t="shared" si="46"/>
        <v>76.50%</v>
      </c>
      <c r="X67" s="22" t="str">
        <f t="shared" si="47"/>
        <v>B</v>
      </c>
      <c r="Y67" s="22" t="str">
        <f t="shared" si="48"/>
        <v>Pass</v>
      </c>
      <c r="Z67" s="12"/>
      <c r="AA67" s="12"/>
      <c r="AB67" s="12"/>
    </row>
    <row r="68" ht="15.75" customHeight="1">
      <c r="A68" s="24" t="s">
        <v>133</v>
      </c>
      <c r="B68" s="25" t="s">
        <v>175</v>
      </c>
      <c r="C68" s="25" t="s">
        <v>176</v>
      </c>
      <c r="D68" s="24" t="s">
        <v>177</v>
      </c>
      <c r="E68" s="24">
        <v>16.0</v>
      </c>
      <c r="F68" s="27">
        <v>32.0</v>
      </c>
      <c r="G68" s="27">
        <v>45.0</v>
      </c>
      <c r="H68" s="27">
        <v>33.0</v>
      </c>
      <c r="I68" s="27">
        <v>39.0</v>
      </c>
      <c r="J68" s="27">
        <v>42.0</v>
      </c>
      <c r="K68" s="27">
        <v>40.0</v>
      </c>
      <c r="L68" s="20" t="str">
        <f t="shared" si="41"/>
        <v>231</v>
      </c>
      <c r="M68" s="20" t="str">
        <f t="shared" si="42"/>
        <v>B</v>
      </c>
      <c r="N68" s="28">
        <v>37.0</v>
      </c>
      <c r="O68" s="28">
        <v>38.0</v>
      </c>
      <c r="P68" s="28">
        <v>45.0</v>
      </c>
      <c r="Q68" s="28">
        <v>41.0</v>
      </c>
      <c r="R68" s="28">
        <v>43.0</v>
      </c>
      <c r="S68" s="28">
        <v>44.0</v>
      </c>
      <c r="T68" s="21" t="str">
        <f t="shared" si="43"/>
        <v>248</v>
      </c>
      <c r="U68" s="21" t="str">
        <f t="shared" si="44"/>
        <v>A</v>
      </c>
      <c r="V68" s="22" t="str">
        <f t="shared" si="45"/>
        <v>479</v>
      </c>
      <c r="W68" s="23" t="str">
        <f t="shared" si="46"/>
        <v>79.83%</v>
      </c>
      <c r="X68" s="22" t="str">
        <f t="shared" si="47"/>
        <v>B</v>
      </c>
      <c r="Y68" s="22" t="str">
        <f t="shared" si="48"/>
        <v>Pass</v>
      </c>
      <c r="Z68" s="12"/>
      <c r="AA68" s="12"/>
      <c r="AB68" s="12"/>
    </row>
    <row r="69" ht="15.75" customHeight="1">
      <c r="A69" s="16" t="s">
        <v>133</v>
      </c>
      <c r="B69" s="17" t="s">
        <v>178</v>
      </c>
      <c r="C69" s="17" t="s">
        <v>179</v>
      </c>
      <c r="D69" s="16" t="s">
        <v>180</v>
      </c>
      <c r="E69" s="16">
        <v>17.0</v>
      </c>
      <c r="F69" s="27">
        <v>36.0</v>
      </c>
      <c r="G69" s="27">
        <v>44.0</v>
      </c>
      <c r="H69" s="27">
        <v>32.0</v>
      </c>
      <c r="I69" s="27">
        <v>32.0</v>
      </c>
      <c r="J69" s="27">
        <v>39.0</v>
      </c>
      <c r="K69" s="27">
        <v>27.0</v>
      </c>
      <c r="L69" s="20" t="str">
        <f t="shared" si="41"/>
        <v>210</v>
      </c>
      <c r="M69" s="20" t="str">
        <f t="shared" si="42"/>
        <v>B</v>
      </c>
      <c r="N69" s="28">
        <v>41.0</v>
      </c>
      <c r="O69" s="28">
        <v>42.0</v>
      </c>
      <c r="P69" s="28">
        <v>45.0</v>
      </c>
      <c r="Q69" s="28">
        <v>39.0</v>
      </c>
      <c r="R69" s="28">
        <v>44.0</v>
      </c>
      <c r="S69" s="28">
        <v>42.0</v>
      </c>
      <c r="T69" s="21" t="str">
        <f t="shared" si="43"/>
        <v>253</v>
      </c>
      <c r="U69" s="21" t="str">
        <f t="shared" si="44"/>
        <v>A</v>
      </c>
      <c r="V69" s="22" t="str">
        <f t="shared" si="45"/>
        <v>463</v>
      </c>
      <c r="W69" s="23" t="str">
        <f t="shared" si="46"/>
        <v>77.17%</v>
      </c>
      <c r="X69" s="22" t="str">
        <f t="shared" si="47"/>
        <v>B</v>
      </c>
      <c r="Y69" s="22" t="str">
        <f t="shared" si="48"/>
        <v>Pass</v>
      </c>
      <c r="Z69" s="12"/>
      <c r="AA69" s="12"/>
      <c r="AB69" s="12"/>
    </row>
    <row r="70" ht="4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12"/>
      <c r="AA70" s="12"/>
      <c r="AB70" s="12"/>
    </row>
    <row r="71" ht="19.5" customHeight="1">
      <c r="A71" s="15" t="s">
        <v>181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3"/>
      <c r="Z71" s="12"/>
      <c r="AA71" s="12"/>
      <c r="AB71" s="12"/>
    </row>
    <row r="72" ht="15.75" customHeight="1">
      <c r="A72" s="16" t="s">
        <v>182</v>
      </c>
      <c r="B72" s="17" t="s">
        <v>183</v>
      </c>
      <c r="C72" s="17" t="s">
        <v>184</v>
      </c>
      <c r="D72" s="16" t="s">
        <v>185</v>
      </c>
      <c r="E72" s="16">
        <v>1.0</v>
      </c>
      <c r="F72" s="27">
        <v>30.0</v>
      </c>
      <c r="G72" s="27">
        <v>35.0</v>
      </c>
      <c r="H72" s="27">
        <v>28.0</v>
      </c>
      <c r="I72" s="27">
        <v>37.0</v>
      </c>
      <c r="J72" s="27">
        <v>45.0</v>
      </c>
      <c r="K72" s="27">
        <v>40.0</v>
      </c>
      <c r="L72" s="20" t="str">
        <f t="shared" ref="L72:L86" si="49">IF(OR(A72="Class 1",A72="Class 2"),SUM(F72:H72),IF(OR(A72="Class 3",A72="Class 4",A72="Class 5"),SUM(F72:I72),SUM(F72:K72)))</f>
        <v>215</v>
      </c>
      <c r="M72" s="20" t="str">
        <f t="shared" ref="M72:M86" si="50">IF(L72="","",IF(L72/(IF(OR(A72="Class 1",A72="Class 2"),150,IF(OR(A72="Class 3",A72="Class 4",A72="Class 5"),200,300)))*100&gt;=81,"A",IF(L72/(IF(OR(A72="Class 1",A72="Class 2"),150,IF(OR(A72="Class 3",A72="Class 4",A72="Class 5"),200,300)))*100&gt;=61,"B",IF(L72/(IF(OR(A72="Class 1",A72="Class 2"),150,IF(OR(A72="Class 3",A72="Class 4",A72="Class 5"),200,300)))*100&gt;=41,"C",IF(L72/(IF(OR(A72="Class 1",A72="Class 2"),150,IF(OR(A72="Class 3",A72="Class 4",A72="Class 5"),200,300)))*100&gt;=33,"D","E")))))</f>
        <v>B</v>
      </c>
      <c r="N72" s="28">
        <v>44.0</v>
      </c>
      <c r="O72" s="28">
        <v>38.0</v>
      </c>
      <c r="P72" s="28">
        <v>42.0</v>
      </c>
      <c r="Q72" s="28">
        <v>45.0</v>
      </c>
      <c r="R72" s="28">
        <v>41.0</v>
      </c>
      <c r="S72" s="28">
        <v>44.0</v>
      </c>
      <c r="T72" s="21" t="str">
        <f t="shared" ref="T72:T86" si="51">IF(OR(A72="Class 1",A72="Class 2"),SUM(N72:P72),IF(OR(A72="Class 3",A72="Class 4",A72="Class 5"),SUM(N72:Q72),SUM(N72:S72)))</f>
        <v>254</v>
      </c>
      <c r="U72" s="21" t="str">
        <f t="shared" ref="U72:U86" si="52">IF(T72="","",IF(T72/(IF(OR(A72="Class 1",A72="Class 2"),150,IF(OR(A72="Class 3",A72="Class 4",A72="Class 5"),200,300)))*100&gt;=81,"A",IF(T72/(IF(OR(A72="Class 1",A72="Class 2"),150,IF(OR(A72="Class 3",A72="Class 4",A72="Class 5"),200,300)))*100&gt;=61,"B",IF(T72/(IF(OR(A72="Class 1",A72="Class 2"),150,IF(OR(A72="Class 3",A72="Class 4",A72="Class 5"),200,300)))*100&gt;=41,"C",IF(T72/(IF(OR(A72="Class 1",A72="Class 2"),150,IF(OR(A72="Class 3",A72="Class 4",A72="Class 5"),200,300)))*100&gt;=33,"D","E")))))</f>
        <v>A</v>
      </c>
      <c r="V72" s="22" t="str">
        <f t="shared" ref="V72:V86" si="53">IF(AND(L72&lt;&gt;"",T72&lt;&gt;""),L72+T72,"")</f>
        <v>469</v>
      </c>
      <c r="W72" s="23" t="str">
        <f t="shared" ref="W72:W86" si="54">IF(V72="","",ROUND(V72/(IF(OR(A72="Class 1",A72="Class 2"),150,IF(OR(A72="Class 3",A72="Class 4",A72="Class 5"),200,300))*2)*100,2))</f>
        <v>78.17%</v>
      </c>
      <c r="X72" s="22" t="str">
        <f t="shared" ref="X72:X86" si="55">IF(W72="","",IF(W72&gt;=81,"A",IF(W72&gt;=61,"B",IF(W72&gt;=41,"C",IF(W72&gt;=33,"D","E")))))</f>
        <v>B</v>
      </c>
      <c r="Y72" s="22" t="str">
        <f t="shared" ref="Y72:Y86" si="56">IF(W72="","",IF(W72&lt;33,"Fail",IF(IF(OR(A72="Class 1",A72="Class 2"),MIN(F72+N72,G72+O72,H72+P72),IF(OR(A72="Class 3",A72="Class 4",A72="Class 5"),MIN(F72+N72,G72+O72,H72+P72,I72+Q72),MIN(F72+N72,G72+O72,H72+P72,I72+Q72,J72+R72,K72+S72)))&lt;17,"Fail","Pass")))</f>
        <v>Pass</v>
      </c>
      <c r="Z72" s="12"/>
      <c r="AA72" s="12"/>
      <c r="AB72" s="12"/>
    </row>
    <row r="73" ht="15.75" customHeight="1">
      <c r="A73" s="24" t="s">
        <v>182</v>
      </c>
      <c r="B73" s="25" t="s">
        <v>31</v>
      </c>
      <c r="C73" s="25" t="s">
        <v>186</v>
      </c>
      <c r="D73" s="24" t="s">
        <v>187</v>
      </c>
      <c r="E73" s="24">
        <v>2.0</v>
      </c>
      <c r="F73" s="18"/>
      <c r="G73" s="18"/>
      <c r="H73" s="18"/>
      <c r="I73" s="18"/>
      <c r="J73" s="18"/>
      <c r="K73" s="18"/>
      <c r="L73" s="20" t="str">
        <f t="shared" si="49"/>
        <v>0</v>
      </c>
      <c r="M73" s="20" t="str">
        <f t="shared" si="50"/>
        <v>E</v>
      </c>
      <c r="N73" s="28">
        <v>42.0</v>
      </c>
      <c r="O73" s="28">
        <v>34.0</v>
      </c>
      <c r="P73" s="28">
        <v>39.0</v>
      </c>
      <c r="Q73" s="28">
        <v>45.0</v>
      </c>
      <c r="R73" s="28">
        <v>41.0</v>
      </c>
      <c r="S73" s="28">
        <v>42.0</v>
      </c>
      <c r="T73" s="21" t="str">
        <f t="shared" si="51"/>
        <v>243</v>
      </c>
      <c r="U73" s="21" t="str">
        <f t="shared" si="52"/>
        <v>A</v>
      </c>
      <c r="V73" s="22" t="str">
        <f t="shared" si="53"/>
        <v>243</v>
      </c>
      <c r="W73" s="23" t="str">
        <f t="shared" si="54"/>
        <v>40.50%</v>
      </c>
      <c r="X73" s="22" t="str">
        <f t="shared" si="55"/>
        <v>D</v>
      </c>
      <c r="Y73" s="22" t="str">
        <f t="shared" si="56"/>
        <v>Pass</v>
      </c>
      <c r="Z73" s="12"/>
      <c r="AA73" s="12"/>
      <c r="AB73" s="12"/>
    </row>
    <row r="74" ht="15.75" customHeight="1">
      <c r="A74" s="16" t="s">
        <v>182</v>
      </c>
      <c r="B74" s="17" t="s">
        <v>36</v>
      </c>
      <c r="C74" s="17" t="s">
        <v>188</v>
      </c>
      <c r="D74" s="16" t="s">
        <v>189</v>
      </c>
      <c r="E74" s="16">
        <v>3.0</v>
      </c>
      <c r="F74" s="27">
        <v>24.0</v>
      </c>
      <c r="G74" s="27">
        <v>46.0</v>
      </c>
      <c r="H74" s="27">
        <v>28.0</v>
      </c>
      <c r="I74" s="27">
        <v>35.0</v>
      </c>
      <c r="J74" s="27">
        <v>40.0</v>
      </c>
      <c r="K74" s="27">
        <v>34.0</v>
      </c>
      <c r="L74" s="20" t="str">
        <f t="shared" si="49"/>
        <v>207</v>
      </c>
      <c r="M74" s="20" t="str">
        <f t="shared" si="50"/>
        <v>B</v>
      </c>
      <c r="N74" s="28">
        <v>44.0</v>
      </c>
      <c r="O74" s="28">
        <v>40.0</v>
      </c>
      <c r="P74" s="28">
        <v>48.0</v>
      </c>
      <c r="Q74" s="28">
        <v>40.0</v>
      </c>
      <c r="R74" s="28">
        <v>49.0</v>
      </c>
      <c r="S74" s="28">
        <v>45.0</v>
      </c>
      <c r="T74" s="21" t="str">
        <f t="shared" si="51"/>
        <v>266</v>
      </c>
      <c r="U74" s="21" t="str">
        <f t="shared" si="52"/>
        <v>A</v>
      </c>
      <c r="V74" s="22" t="str">
        <f t="shared" si="53"/>
        <v>473</v>
      </c>
      <c r="W74" s="23" t="str">
        <f t="shared" si="54"/>
        <v>78.83%</v>
      </c>
      <c r="X74" s="22" t="str">
        <f t="shared" si="55"/>
        <v>B</v>
      </c>
      <c r="Y74" s="22" t="str">
        <f t="shared" si="56"/>
        <v>Pass</v>
      </c>
      <c r="Z74" s="12"/>
      <c r="AA74" s="12"/>
      <c r="AB74" s="12"/>
    </row>
    <row r="75" ht="15.75" customHeight="1">
      <c r="A75" s="24" t="s">
        <v>182</v>
      </c>
      <c r="B75" s="25" t="s">
        <v>190</v>
      </c>
      <c r="C75" s="25" t="s">
        <v>191</v>
      </c>
      <c r="D75" s="24" t="s">
        <v>192</v>
      </c>
      <c r="E75" s="24">
        <v>4.0</v>
      </c>
      <c r="F75" s="27">
        <v>24.0</v>
      </c>
      <c r="G75" s="27">
        <v>45.0</v>
      </c>
      <c r="H75" s="27">
        <v>37.0</v>
      </c>
      <c r="I75" s="27">
        <v>39.0</v>
      </c>
      <c r="J75" s="27">
        <v>40.0</v>
      </c>
      <c r="K75" s="27">
        <v>41.0</v>
      </c>
      <c r="L75" s="20" t="str">
        <f t="shared" si="49"/>
        <v>226</v>
      </c>
      <c r="M75" s="20" t="str">
        <f t="shared" si="50"/>
        <v>B</v>
      </c>
      <c r="N75" s="28">
        <v>40.0</v>
      </c>
      <c r="O75" s="28">
        <v>37.0</v>
      </c>
      <c r="P75" s="28">
        <v>47.0</v>
      </c>
      <c r="Q75" s="28">
        <v>49.0</v>
      </c>
      <c r="R75" s="28">
        <v>44.0</v>
      </c>
      <c r="S75" s="28">
        <v>44.0</v>
      </c>
      <c r="T75" s="21" t="str">
        <f t="shared" si="51"/>
        <v>261</v>
      </c>
      <c r="U75" s="21" t="str">
        <f t="shared" si="52"/>
        <v>A</v>
      </c>
      <c r="V75" s="22" t="str">
        <f t="shared" si="53"/>
        <v>487</v>
      </c>
      <c r="W75" s="23" t="str">
        <f t="shared" si="54"/>
        <v>81.17%</v>
      </c>
      <c r="X75" s="22" t="str">
        <f t="shared" si="55"/>
        <v>A</v>
      </c>
      <c r="Y75" s="22" t="str">
        <f t="shared" si="56"/>
        <v>Pass</v>
      </c>
      <c r="Z75" s="12"/>
      <c r="AA75" s="12"/>
      <c r="AB75" s="12"/>
    </row>
    <row r="76" ht="15.75" customHeight="1">
      <c r="A76" s="16" t="s">
        <v>182</v>
      </c>
      <c r="B76" s="17" t="s">
        <v>193</v>
      </c>
      <c r="C76" s="17" t="s">
        <v>194</v>
      </c>
      <c r="D76" s="16" t="s">
        <v>195</v>
      </c>
      <c r="E76" s="16">
        <v>5.0</v>
      </c>
      <c r="F76" s="18"/>
      <c r="G76" s="18"/>
      <c r="H76" s="18"/>
      <c r="I76" s="18"/>
      <c r="J76" s="18"/>
      <c r="K76" s="18"/>
      <c r="L76" s="20" t="str">
        <f t="shared" si="49"/>
        <v>0</v>
      </c>
      <c r="M76" s="20" t="str">
        <f t="shared" si="50"/>
        <v>E</v>
      </c>
      <c r="N76" s="28">
        <v>42.0</v>
      </c>
      <c r="O76" s="28">
        <v>36.0</v>
      </c>
      <c r="P76" s="28">
        <v>45.0</v>
      </c>
      <c r="Q76" s="28">
        <v>39.0</v>
      </c>
      <c r="R76" s="28">
        <v>43.0</v>
      </c>
      <c r="S76" s="28">
        <v>45.0</v>
      </c>
      <c r="T76" s="21" t="str">
        <f t="shared" si="51"/>
        <v>250</v>
      </c>
      <c r="U76" s="21" t="str">
        <f t="shared" si="52"/>
        <v>A</v>
      </c>
      <c r="V76" s="22" t="str">
        <f t="shared" si="53"/>
        <v>250</v>
      </c>
      <c r="W76" s="23" t="str">
        <f t="shared" si="54"/>
        <v>41.67%</v>
      </c>
      <c r="X76" s="22" t="str">
        <f t="shared" si="55"/>
        <v>C</v>
      </c>
      <c r="Y76" s="22" t="str">
        <f t="shared" si="56"/>
        <v>Pass</v>
      </c>
      <c r="Z76" s="12"/>
      <c r="AA76" s="12"/>
      <c r="AB76" s="12"/>
    </row>
    <row r="77" ht="15.75" customHeight="1">
      <c r="A77" s="24" t="s">
        <v>182</v>
      </c>
      <c r="B77" s="25" t="s">
        <v>196</v>
      </c>
      <c r="C77" s="25" t="s">
        <v>197</v>
      </c>
      <c r="D77" s="24" t="s">
        <v>198</v>
      </c>
      <c r="E77" s="24">
        <v>6.0</v>
      </c>
      <c r="F77" s="27">
        <v>28.0</v>
      </c>
      <c r="G77" s="27">
        <v>35.0</v>
      </c>
      <c r="H77" s="27">
        <v>32.0</v>
      </c>
      <c r="I77" s="27">
        <v>41.0</v>
      </c>
      <c r="J77" s="27">
        <v>36.0</v>
      </c>
      <c r="K77" s="27">
        <v>40.0</v>
      </c>
      <c r="L77" s="20" t="str">
        <f t="shared" si="49"/>
        <v>212</v>
      </c>
      <c r="M77" s="20" t="str">
        <f t="shared" si="50"/>
        <v>B</v>
      </c>
      <c r="N77" s="28">
        <v>40.0</v>
      </c>
      <c r="O77" s="28">
        <v>32.0</v>
      </c>
      <c r="P77" s="28">
        <v>39.0</v>
      </c>
      <c r="Q77" s="28">
        <v>43.0</v>
      </c>
      <c r="R77" s="28">
        <v>44.0</v>
      </c>
      <c r="S77" s="28">
        <v>45.0</v>
      </c>
      <c r="T77" s="21" t="str">
        <f t="shared" si="51"/>
        <v>243</v>
      </c>
      <c r="U77" s="21" t="str">
        <f t="shared" si="52"/>
        <v>A</v>
      </c>
      <c r="V77" s="22" t="str">
        <f t="shared" si="53"/>
        <v>455</v>
      </c>
      <c r="W77" s="23" t="str">
        <f t="shared" si="54"/>
        <v>75.83%</v>
      </c>
      <c r="X77" s="22" t="str">
        <f t="shared" si="55"/>
        <v>B</v>
      </c>
      <c r="Y77" s="22" t="str">
        <f t="shared" si="56"/>
        <v>Pass</v>
      </c>
      <c r="Z77" s="12"/>
      <c r="AA77" s="12"/>
      <c r="AB77" s="12"/>
    </row>
    <row r="78" ht="15.75" customHeight="1">
      <c r="A78" s="16" t="s">
        <v>182</v>
      </c>
      <c r="B78" s="17" t="s">
        <v>199</v>
      </c>
      <c r="C78" s="17" t="s">
        <v>98</v>
      </c>
      <c r="D78" s="16" t="s">
        <v>200</v>
      </c>
      <c r="E78" s="16">
        <v>7.0</v>
      </c>
      <c r="F78" s="27">
        <v>28.0</v>
      </c>
      <c r="G78" s="27">
        <v>30.0</v>
      </c>
      <c r="H78" s="27">
        <v>25.0</v>
      </c>
      <c r="I78" s="27">
        <v>41.0</v>
      </c>
      <c r="J78" s="27">
        <v>41.0</v>
      </c>
      <c r="K78" s="27">
        <v>42.0</v>
      </c>
      <c r="L78" s="20" t="str">
        <f t="shared" si="49"/>
        <v>207</v>
      </c>
      <c r="M78" s="20" t="str">
        <f t="shared" si="50"/>
        <v>B</v>
      </c>
      <c r="N78" s="28">
        <v>39.0</v>
      </c>
      <c r="O78" s="28">
        <v>34.0</v>
      </c>
      <c r="P78" s="28">
        <v>32.0</v>
      </c>
      <c r="Q78" s="28">
        <v>44.0</v>
      </c>
      <c r="R78" s="28">
        <v>45.0</v>
      </c>
      <c r="S78" s="28">
        <v>42.0</v>
      </c>
      <c r="T78" s="21" t="str">
        <f t="shared" si="51"/>
        <v>236</v>
      </c>
      <c r="U78" s="21" t="str">
        <f t="shared" si="52"/>
        <v>B</v>
      </c>
      <c r="V78" s="22" t="str">
        <f t="shared" si="53"/>
        <v>443</v>
      </c>
      <c r="W78" s="23" t="str">
        <f t="shared" si="54"/>
        <v>73.83%</v>
      </c>
      <c r="X78" s="22" t="str">
        <f t="shared" si="55"/>
        <v>B</v>
      </c>
      <c r="Y78" s="22" t="str">
        <f t="shared" si="56"/>
        <v>Pass</v>
      </c>
      <c r="Z78" s="12"/>
      <c r="AA78" s="12"/>
      <c r="AB78" s="12"/>
    </row>
    <row r="79" ht="15.75" customHeight="1">
      <c r="A79" s="24" t="s">
        <v>182</v>
      </c>
      <c r="B79" s="25" t="s">
        <v>201</v>
      </c>
      <c r="C79" s="25" t="s">
        <v>202</v>
      </c>
      <c r="D79" s="24" t="s">
        <v>203</v>
      </c>
      <c r="E79" s="24">
        <v>8.0</v>
      </c>
      <c r="F79" s="18"/>
      <c r="G79" s="18"/>
      <c r="H79" s="18"/>
      <c r="I79" s="18"/>
      <c r="J79" s="18"/>
      <c r="K79" s="18"/>
      <c r="L79" s="20" t="str">
        <f t="shared" si="49"/>
        <v>0</v>
      </c>
      <c r="M79" s="20" t="str">
        <f t="shared" si="50"/>
        <v>E</v>
      </c>
      <c r="N79" s="28">
        <v>38.0</v>
      </c>
      <c r="O79" s="28">
        <v>36.0</v>
      </c>
      <c r="P79" s="28">
        <v>47.0</v>
      </c>
      <c r="Q79" s="28">
        <v>48.0</v>
      </c>
      <c r="R79" s="28">
        <v>45.0</v>
      </c>
      <c r="S79" s="28">
        <v>42.0</v>
      </c>
      <c r="T79" s="21" t="str">
        <f t="shared" si="51"/>
        <v>256</v>
      </c>
      <c r="U79" s="21" t="str">
        <f t="shared" si="52"/>
        <v>A</v>
      </c>
      <c r="V79" s="22" t="str">
        <f t="shared" si="53"/>
        <v>256</v>
      </c>
      <c r="W79" s="23" t="str">
        <f t="shared" si="54"/>
        <v>42.67%</v>
      </c>
      <c r="X79" s="22" t="str">
        <f t="shared" si="55"/>
        <v>C</v>
      </c>
      <c r="Y79" s="22" t="str">
        <f t="shared" si="56"/>
        <v>Pass</v>
      </c>
      <c r="Z79" s="12"/>
      <c r="AA79" s="12"/>
      <c r="AB79" s="12"/>
    </row>
    <row r="80" ht="15.75" customHeight="1">
      <c r="A80" s="16" t="s">
        <v>182</v>
      </c>
      <c r="B80" s="17" t="s">
        <v>204</v>
      </c>
      <c r="C80" s="17" t="s">
        <v>69</v>
      </c>
      <c r="D80" s="16" t="s">
        <v>205</v>
      </c>
      <c r="E80" s="16">
        <v>9.0</v>
      </c>
      <c r="F80" s="27">
        <v>24.0</v>
      </c>
      <c r="G80" s="27">
        <v>45.0</v>
      </c>
      <c r="H80" s="27">
        <v>30.0</v>
      </c>
      <c r="I80" s="27">
        <v>36.0</v>
      </c>
      <c r="J80" s="27">
        <v>42.0</v>
      </c>
      <c r="K80" s="27">
        <v>29.0</v>
      </c>
      <c r="L80" s="20" t="str">
        <f t="shared" si="49"/>
        <v>206</v>
      </c>
      <c r="M80" s="20" t="str">
        <f t="shared" si="50"/>
        <v>B</v>
      </c>
      <c r="N80" s="28">
        <v>40.0</v>
      </c>
      <c r="O80" s="28">
        <v>36.0</v>
      </c>
      <c r="P80" s="28">
        <v>30.0</v>
      </c>
      <c r="Q80" s="28">
        <v>24.0</v>
      </c>
      <c r="R80" s="28">
        <v>39.0</v>
      </c>
      <c r="S80" s="28">
        <v>40.0</v>
      </c>
      <c r="T80" s="21" t="str">
        <f t="shared" si="51"/>
        <v>209</v>
      </c>
      <c r="U80" s="21" t="str">
        <f t="shared" si="52"/>
        <v>B</v>
      </c>
      <c r="V80" s="22" t="str">
        <f t="shared" si="53"/>
        <v>415</v>
      </c>
      <c r="W80" s="23" t="str">
        <f t="shared" si="54"/>
        <v>69.17%</v>
      </c>
      <c r="X80" s="22" t="str">
        <f t="shared" si="55"/>
        <v>B</v>
      </c>
      <c r="Y80" s="22" t="str">
        <f t="shared" si="56"/>
        <v>Pass</v>
      </c>
      <c r="Z80" s="12"/>
      <c r="AA80" s="12"/>
      <c r="AB80" s="12"/>
    </row>
    <row r="81" ht="15.75" customHeight="1">
      <c r="A81" s="24" t="s">
        <v>182</v>
      </c>
      <c r="B81" s="25" t="s">
        <v>206</v>
      </c>
      <c r="C81" s="25" t="s">
        <v>188</v>
      </c>
      <c r="D81" s="24" t="s">
        <v>189</v>
      </c>
      <c r="E81" s="24">
        <v>10.0</v>
      </c>
      <c r="F81" s="27">
        <v>28.0</v>
      </c>
      <c r="G81" s="27">
        <v>45.0</v>
      </c>
      <c r="H81" s="27">
        <v>27.0</v>
      </c>
      <c r="I81" s="27">
        <v>36.0</v>
      </c>
      <c r="J81" s="27">
        <v>41.0</v>
      </c>
      <c r="K81" s="27">
        <v>42.0</v>
      </c>
      <c r="L81" s="20" t="str">
        <f t="shared" si="49"/>
        <v>219</v>
      </c>
      <c r="M81" s="20" t="str">
        <f t="shared" si="50"/>
        <v>B</v>
      </c>
      <c r="N81" s="28">
        <v>39.0</v>
      </c>
      <c r="O81" s="28">
        <v>30.0</v>
      </c>
      <c r="P81" s="28">
        <v>39.0</v>
      </c>
      <c r="Q81" s="28">
        <v>30.0</v>
      </c>
      <c r="R81" s="28">
        <v>45.0</v>
      </c>
      <c r="S81" s="28">
        <v>40.0</v>
      </c>
      <c r="T81" s="21" t="str">
        <f t="shared" si="51"/>
        <v>223</v>
      </c>
      <c r="U81" s="21" t="str">
        <f t="shared" si="52"/>
        <v>B</v>
      </c>
      <c r="V81" s="22" t="str">
        <f t="shared" si="53"/>
        <v>442</v>
      </c>
      <c r="W81" s="23" t="str">
        <f t="shared" si="54"/>
        <v>73.67%</v>
      </c>
      <c r="X81" s="22" t="str">
        <f t="shared" si="55"/>
        <v>B</v>
      </c>
      <c r="Y81" s="22" t="str">
        <f t="shared" si="56"/>
        <v>Pass</v>
      </c>
      <c r="Z81" s="12"/>
      <c r="AA81" s="12"/>
      <c r="AB81" s="12"/>
    </row>
    <row r="82" ht="15.75" customHeight="1">
      <c r="A82" s="16" t="s">
        <v>182</v>
      </c>
      <c r="B82" s="17" t="s">
        <v>207</v>
      </c>
      <c r="C82" s="17" t="s">
        <v>208</v>
      </c>
      <c r="D82" s="16" t="s">
        <v>209</v>
      </c>
      <c r="E82" s="16">
        <v>11.0</v>
      </c>
      <c r="F82" s="27">
        <v>28.0</v>
      </c>
      <c r="G82" s="27">
        <v>40.0</v>
      </c>
      <c r="H82" s="27">
        <v>19.0</v>
      </c>
      <c r="I82" s="27">
        <v>32.0</v>
      </c>
      <c r="J82" s="27">
        <v>34.0</v>
      </c>
      <c r="K82" s="27">
        <v>39.0</v>
      </c>
      <c r="L82" s="20" t="str">
        <f t="shared" si="49"/>
        <v>192</v>
      </c>
      <c r="M82" s="20" t="str">
        <f t="shared" si="50"/>
        <v>B</v>
      </c>
      <c r="N82" s="28">
        <v>40.0</v>
      </c>
      <c r="O82" s="28">
        <v>35.0</v>
      </c>
      <c r="P82" s="28">
        <v>38.0</v>
      </c>
      <c r="Q82" s="28">
        <v>43.0</v>
      </c>
      <c r="R82" s="28">
        <v>42.0</v>
      </c>
      <c r="S82" s="28">
        <v>42.0</v>
      </c>
      <c r="T82" s="21" t="str">
        <f t="shared" si="51"/>
        <v>240</v>
      </c>
      <c r="U82" s="21" t="str">
        <f t="shared" si="52"/>
        <v>B</v>
      </c>
      <c r="V82" s="22" t="str">
        <f t="shared" si="53"/>
        <v>432</v>
      </c>
      <c r="W82" s="23" t="str">
        <f t="shared" si="54"/>
        <v>72.00%</v>
      </c>
      <c r="X82" s="22" t="str">
        <f t="shared" si="55"/>
        <v>B</v>
      </c>
      <c r="Y82" s="22" t="str">
        <f t="shared" si="56"/>
        <v>Pass</v>
      </c>
      <c r="Z82" s="12"/>
      <c r="AA82" s="12"/>
      <c r="AB82" s="12"/>
    </row>
    <row r="83" ht="15.75" customHeight="1">
      <c r="A83" s="24" t="s">
        <v>182</v>
      </c>
      <c r="B83" s="25" t="s">
        <v>210</v>
      </c>
      <c r="C83" s="25" t="s">
        <v>211</v>
      </c>
      <c r="D83" s="24" t="s">
        <v>212</v>
      </c>
      <c r="E83" s="24">
        <v>12.0</v>
      </c>
      <c r="F83" s="27">
        <v>24.0</v>
      </c>
      <c r="G83" s="27">
        <v>27.0</v>
      </c>
      <c r="H83" s="27">
        <v>26.0</v>
      </c>
      <c r="I83" s="27">
        <v>33.0</v>
      </c>
      <c r="J83" s="27">
        <v>30.0</v>
      </c>
      <c r="K83" s="27">
        <v>28.0</v>
      </c>
      <c r="L83" s="20" t="str">
        <f t="shared" si="49"/>
        <v>168</v>
      </c>
      <c r="M83" s="20" t="str">
        <f t="shared" si="50"/>
        <v>C</v>
      </c>
      <c r="N83" s="28">
        <v>30.0</v>
      </c>
      <c r="O83" s="28">
        <v>26.0</v>
      </c>
      <c r="P83" s="28">
        <v>30.0</v>
      </c>
      <c r="Q83" s="28">
        <v>22.0</v>
      </c>
      <c r="R83" s="28">
        <v>38.0</v>
      </c>
      <c r="S83" s="28">
        <v>39.0</v>
      </c>
      <c r="T83" s="21" t="str">
        <f t="shared" si="51"/>
        <v>185</v>
      </c>
      <c r="U83" s="21" t="str">
        <f t="shared" si="52"/>
        <v>B</v>
      </c>
      <c r="V83" s="22" t="str">
        <f t="shared" si="53"/>
        <v>353</v>
      </c>
      <c r="W83" s="23" t="str">
        <f t="shared" si="54"/>
        <v>58.83%</v>
      </c>
      <c r="X83" s="22" t="str">
        <f t="shared" si="55"/>
        <v>C</v>
      </c>
      <c r="Y83" s="22" t="str">
        <f t="shared" si="56"/>
        <v>Pass</v>
      </c>
      <c r="Z83" s="12"/>
      <c r="AA83" s="12"/>
      <c r="AB83" s="12"/>
    </row>
    <row r="84" ht="15.75" customHeight="1">
      <c r="A84" s="16" t="s">
        <v>182</v>
      </c>
      <c r="B84" s="17" t="s">
        <v>213</v>
      </c>
      <c r="C84" s="17" t="s">
        <v>214</v>
      </c>
      <c r="D84" s="16" t="s">
        <v>215</v>
      </c>
      <c r="E84" s="16">
        <v>13.0</v>
      </c>
      <c r="F84" s="18"/>
      <c r="G84" s="18"/>
      <c r="H84" s="18"/>
      <c r="I84" s="18"/>
      <c r="J84" s="18"/>
      <c r="K84" s="18"/>
      <c r="L84" s="20" t="str">
        <f t="shared" si="49"/>
        <v>0</v>
      </c>
      <c r="M84" s="20" t="str">
        <f t="shared" si="50"/>
        <v>E</v>
      </c>
      <c r="N84" s="28">
        <v>36.0</v>
      </c>
      <c r="O84" s="28">
        <v>34.0</v>
      </c>
      <c r="P84" s="28">
        <v>43.0</v>
      </c>
      <c r="Q84" s="28">
        <v>46.0</v>
      </c>
      <c r="R84" s="28">
        <v>42.0</v>
      </c>
      <c r="S84" s="28">
        <v>39.0</v>
      </c>
      <c r="T84" s="21" t="str">
        <f t="shared" si="51"/>
        <v>240</v>
      </c>
      <c r="U84" s="21" t="str">
        <f t="shared" si="52"/>
        <v>B</v>
      </c>
      <c r="V84" s="22" t="str">
        <f t="shared" si="53"/>
        <v>240</v>
      </c>
      <c r="W84" s="23" t="str">
        <f t="shared" si="54"/>
        <v>40.00%</v>
      </c>
      <c r="X84" s="22" t="str">
        <f t="shared" si="55"/>
        <v>D</v>
      </c>
      <c r="Y84" s="22" t="str">
        <f t="shared" si="56"/>
        <v>Pass</v>
      </c>
      <c r="Z84" s="12"/>
      <c r="AA84" s="12"/>
      <c r="AB84" s="12"/>
    </row>
    <row r="85" ht="15.75" customHeight="1">
      <c r="A85" s="24" t="s">
        <v>182</v>
      </c>
      <c r="B85" s="25" t="s">
        <v>216</v>
      </c>
      <c r="C85" s="25" t="s">
        <v>217</v>
      </c>
      <c r="D85" s="24" t="s">
        <v>218</v>
      </c>
      <c r="E85" s="24">
        <v>14.0</v>
      </c>
      <c r="F85" s="27">
        <v>26.0</v>
      </c>
      <c r="G85" s="27">
        <v>28.0</v>
      </c>
      <c r="H85" s="27">
        <v>27.0</v>
      </c>
      <c r="I85" s="27">
        <v>33.0</v>
      </c>
      <c r="J85" s="27">
        <v>32.0</v>
      </c>
      <c r="K85" s="27">
        <v>18.0</v>
      </c>
      <c r="L85" s="20" t="str">
        <f t="shared" si="49"/>
        <v>164</v>
      </c>
      <c r="M85" s="20" t="str">
        <f t="shared" si="50"/>
        <v>C</v>
      </c>
      <c r="N85" s="28">
        <v>38.0</v>
      </c>
      <c r="O85" s="28">
        <v>37.0</v>
      </c>
      <c r="P85" s="28">
        <v>49.0</v>
      </c>
      <c r="Q85" s="28">
        <v>49.0</v>
      </c>
      <c r="R85" s="28">
        <v>45.0</v>
      </c>
      <c r="S85" s="28">
        <v>45.0</v>
      </c>
      <c r="T85" s="21" t="str">
        <f t="shared" si="51"/>
        <v>263</v>
      </c>
      <c r="U85" s="21" t="str">
        <f t="shared" si="52"/>
        <v>A</v>
      </c>
      <c r="V85" s="22" t="str">
        <f t="shared" si="53"/>
        <v>427</v>
      </c>
      <c r="W85" s="23" t="str">
        <f t="shared" si="54"/>
        <v>71.17%</v>
      </c>
      <c r="X85" s="22" t="str">
        <f t="shared" si="55"/>
        <v>B</v>
      </c>
      <c r="Y85" s="22" t="str">
        <f t="shared" si="56"/>
        <v>Pass</v>
      </c>
      <c r="Z85" s="12"/>
      <c r="AA85" s="12"/>
      <c r="AB85" s="12"/>
    </row>
    <row r="86" ht="15.75" customHeight="1">
      <c r="A86" s="16" t="s">
        <v>182</v>
      </c>
      <c r="B86" s="17" t="s">
        <v>219</v>
      </c>
      <c r="C86" s="17" t="s">
        <v>220</v>
      </c>
      <c r="D86" s="16" t="s">
        <v>221</v>
      </c>
      <c r="E86" s="16">
        <v>15.0</v>
      </c>
      <c r="F86" s="27">
        <v>24.0</v>
      </c>
      <c r="G86" s="27">
        <v>25.0</v>
      </c>
      <c r="H86" s="27">
        <v>29.0</v>
      </c>
      <c r="I86" s="27">
        <v>30.0</v>
      </c>
      <c r="J86" s="27">
        <v>33.0</v>
      </c>
      <c r="K86" s="27">
        <v>27.0</v>
      </c>
      <c r="L86" s="20" t="str">
        <f t="shared" si="49"/>
        <v>168</v>
      </c>
      <c r="M86" s="20" t="str">
        <f t="shared" si="50"/>
        <v>C</v>
      </c>
      <c r="N86" s="28">
        <v>24.0</v>
      </c>
      <c r="O86" s="28">
        <v>0.0</v>
      </c>
      <c r="P86" s="28">
        <v>0.0</v>
      </c>
      <c r="Q86" s="28">
        <v>0.0</v>
      </c>
      <c r="R86" s="28">
        <v>35.0</v>
      </c>
      <c r="S86" s="28">
        <v>0.0</v>
      </c>
      <c r="T86" s="21" t="str">
        <f t="shared" si="51"/>
        <v>59</v>
      </c>
      <c r="U86" s="21" t="str">
        <f t="shared" si="52"/>
        <v>E</v>
      </c>
      <c r="V86" s="22" t="str">
        <f t="shared" si="53"/>
        <v>227</v>
      </c>
      <c r="W86" s="23" t="str">
        <f t="shared" si="54"/>
        <v>37.83%</v>
      </c>
      <c r="X86" s="22" t="str">
        <f t="shared" si="55"/>
        <v>D</v>
      </c>
      <c r="Y86" s="22" t="str">
        <f t="shared" si="56"/>
        <v>Pass</v>
      </c>
      <c r="Z86" s="12"/>
      <c r="AA86" s="12"/>
      <c r="AB86" s="12"/>
    </row>
    <row r="87" ht="4.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12"/>
      <c r="AA87" s="12"/>
      <c r="AB87" s="12"/>
    </row>
    <row r="88" ht="19.5" customHeight="1">
      <c r="A88" s="15" t="s">
        <v>222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3"/>
      <c r="Z88" s="12"/>
      <c r="AA88" s="12"/>
      <c r="AB88" s="12"/>
    </row>
    <row r="89" ht="15.75" customHeight="1">
      <c r="A89" s="16" t="s">
        <v>223</v>
      </c>
      <c r="B89" s="17" t="s">
        <v>224</v>
      </c>
      <c r="C89" s="17" t="s">
        <v>225</v>
      </c>
      <c r="D89" s="16" t="s">
        <v>226</v>
      </c>
      <c r="E89" s="16">
        <v>1.0</v>
      </c>
      <c r="F89" s="27">
        <v>39.0</v>
      </c>
      <c r="G89" s="27">
        <v>45.0</v>
      </c>
      <c r="H89" s="27">
        <v>42.0</v>
      </c>
      <c r="I89" s="27">
        <v>48.0</v>
      </c>
      <c r="J89" s="27">
        <v>48.0</v>
      </c>
      <c r="K89" s="27">
        <v>48.0</v>
      </c>
      <c r="L89" s="20" t="str">
        <f t="shared" ref="L89:L103" si="57">IF(OR(A89="Class 1",A89="Class 2"),SUM(F89:H89),IF(OR(A89="Class 3",A89="Class 4",A89="Class 5"),SUM(F89:I89),SUM(F89:K89)))</f>
        <v>270</v>
      </c>
      <c r="M89" s="20" t="str">
        <f t="shared" ref="M89:M103" si="58">IF(L89="","",IF(L89/(IF(OR(A89="Class 1",A89="Class 2"),150,IF(OR(A89="Class 3",A89="Class 4",A89="Class 5"),200,300)))*100&gt;=81,"A",IF(L89/(IF(OR(A89="Class 1",A89="Class 2"),150,IF(OR(A89="Class 3",A89="Class 4",A89="Class 5"),200,300)))*100&gt;=61,"B",IF(L89/(IF(OR(A89="Class 1",A89="Class 2"),150,IF(OR(A89="Class 3",A89="Class 4",A89="Class 5"),200,300)))*100&gt;=41,"C",IF(L89/(IF(OR(A89="Class 1",A89="Class 2"),150,IF(OR(A89="Class 3",A89="Class 4",A89="Class 5"),200,300)))*100&gt;=33,"D","E")))))</f>
        <v>A</v>
      </c>
      <c r="N89" s="28">
        <v>46.0</v>
      </c>
      <c r="O89" s="28">
        <v>46.0</v>
      </c>
      <c r="P89" s="28">
        <v>50.0</v>
      </c>
      <c r="Q89" s="28">
        <v>49.0</v>
      </c>
      <c r="R89" s="28">
        <v>47.0</v>
      </c>
      <c r="S89" s="28">
        <v>48.0</v>
      </c>
      <c r="T89" s="21" t="str">
        <f t="shared" ref="T89:T103" si="59">IF(OR(A89="Class 1",A89="Class 2"),SUM(N89:P89),IF(OR(A89="Class 3",A89="Class 4",A89="Class 5"),SUM(N89:Q89),SUM(N89:S89)))</f>
        <v>286</v>
      </c>
      <c r="U89" s="21" t="str">
        <f t="shared" ref="U89:U103" si="60">IF(T89="","",IF(T89/(IF(OR(A89="Class 1",A89="Class 2"),150,IF(OR(A89="Class 3",A89="Class 4",A89="Class 5"),200,300)))*100&gt;=81,"A",IF(T89/(IF(OR(A89="Class 1",A89="Class 2"),150,IF(OR(A89="Class 3",A89="Class 4",A89="Class 5"),200,300)))*100&gt;=61,"B",IF(T89/(IF(OR(A89="Class 1",A89="Class 2"),150,IF(OR(A89="Class 3",A89="Class 4",A89="Class 5"),200,300)))*100&gt;=41,"C",IF(T89/(IF(OR(A89="Class 1",A89="Class 2"),150,IF(OR(A89="Class 3",A89="Class 4",A89="Class 5"),200,300)))*100&gt;=33,"D","E")))))</f>
        <v>A</v>
      </c>
      <c r="V89" s="22" t="str">
        <f t="shared" ref="V89:V103" si="61">IF(AND(L89&lt;&gt;"",T89&lt;&gt;""),L89+T89,"")</f>
        <v>556</v>
      </c>
      <c r="W89" s="23" t="str">
        <f t="shared" ref="W89:W103" si="62">IF(V89="","",ROUND(V89/(IF(OR(A89="Class 1",A89="Class 2"),150,IF(OR(A89="Class 3",A89="Class 4",A89="Class 5"),200,300))*2)*100,2))</f>
        <v>92.67%</v>
      </c>
      <c r="X89" s="22" t="str">
        <f t="shared" ref="X89:X103" si="63">IF(W89="","",IF(W89&gt;=81,"A",IF(W89&gt;=61,"B",IF(W89&gt;=41,"C",IF(W89&gt;=33,"D","E")))))</f>
        <v>A</v>
      </c>
      <c r="Y89" s="22" t="str">
        <f t="shared" ref="Y89:Y103" si="64">IF(W89="","",IF(W89&lt;33,"Fail",IF(IF(OR(A89="Class 1",A89="Class 2"),MIN(F89+N89,G89+O89,H89+P89),IF(OR(A89="Class 3",A89="Class 4",A89="Class 5"),MIN(F89+N89,G89+O89,H89+P89,I89+Q89),MIN(F89+N89,G89+O89,H89+P89,I89+Q89,J89+R89,K89+S89)))&lt;17,"Fail","Pass")))</f>
        <v>Pass</v>
      </c>
      <c r="Z89" s="12"/>
      <c r="AA89" s="12"/>
      <c r="AB89" s="12"/>
    </row>
    <row r="90" ht="15.75" customHeight="1">
      <c r="A90" s="24" t="s">
        <v>223</v>
      </c>
      <c r="B90" s="25" t="s">
        <v>227</v>
      </c>
      <c r="C90" s="25" t="s">
        <v>228</v>
      </c>
      <c r="D90" s="24" t="s">
        <v>229</v>
      </c>
      <c r="E90" s="24">
        <v>2.0</v>
      </c>
      <c r="F90" s="27">
        <v>37.0</v>
      </c>
      <c r="G90" s="27">
        <v>45.0</v>
      </c>
      <c r="H90" s="27">
        <v>41.0</v>
      </c>
      <c r="I90" s="27">
        <v>46.0</v>
      </c>
      <c r="J90" s="27">
        <v>49.0</v>
      </c>
      <c r="K90" s="27">
        <v>46.0</v>
      </c>
      <c r="L90" s="20" t="str">
        <f t="shared" si="57"/>
        <v>264</v>
      </c>
      <c r="M90" s="20" t="str">
        <f t="shared" si="58"/>
        <v>A</v>
      </c>
      <c r="N90" s="28">
        <v>44.0</v>
      </c>
      <c r="O90" s="28">
        <v>46.0</v>
      </c>
      <c r="P90" s="28">
        <v>49.0</v>
      </c>
      <c r="Q90" s="28">
        <v>49.0</v>
      </c>
      <c r="R90" s="28">
        <v>48.0</v>
      </c>
      <c r="S90" s="28">
        <v>49.0</v>
      </c>
      <c r="T90" s="21" t="str">
        <f t="shared" si="59"/>
        <v>285</v>
      </c>
      <c r="U90" s="21" t="str">
        <f t="shared" si="60"/>
        <v>A</v>
      </c>
      <c r="V90" s="22" t="str">
        <f t="shared" si="61"/>
        <v>549</v>
      </c>
      <c r="W90" s="23" t="str">
        <f t="shared" si="62"/>
        <v>91.50%</v>
      </c>
      <c r="X90" s="22" t="str">
        <f t="shared" si="63"/>
        <v>A</v>
      </c>
      <c r="Y90" s="22" t="str">
        <f t="shared" si="64"/>
        <v>Pass</v>
      </c>
      <c r="Z90" s="12"/>
      <c r="AA90" s="12"/>
      <c r="AB90" s="12"/>
    </row>
    <row r="91" ht="15.75" customHeight="1">
      <c r="A91" s="16" t="s">
        <v>223</v>
      </c>
      <c r="B91" s="17" t="s">
        <v>230</v>
      </c>
      <c r="C91" s="17" t="s">
        <v>161</v>
      </c>
      <c r="D91" s="16" t="s">
        <v>231</v>
      </c>
      <c r="E91" s="16">
        <v>3.0</v>
      </c>
      <c r="F91" s="27">
        <v>40.0</v>
      </c>
      <c r="G91" s="27">
        <v>40.0</v>
      </c>
      <c r="H91" s="27">
        <v>36.0</v>
      </c>
      <c r="I91" s="27">
        <v>38.0</v>
      </c>
      <c r="J91" s="27">
        <v>42.0</v>
      </c>
      <c r="K91" s="27">
        <v>45.0</v>
      </c>
      <c r="L91" s="20" t="str">
        <f t="shared" si="57"/>
        <v>241</v>
      </c>
      <c r="M91" s="20" t="str">
        <f t="shared" si="58"/>
        <v>B</v>
      </c>
      <c r="N91" s="28">
        <v>38.0</v>
      </c>
      <c r="O91" s="28">
        <v>43.0</v>
      </c>
      <c r="P91" s="28">
        <v>49.0</v>
      </c>
      <c r="Q91" s="28">
        <v>45.0</v>
      </c>
      <c r="R91" s="28">
        <v>45.0</v>
      </c>
      <c r="S91" s="28">
        <v>48.0</v>
      </c>
      <c r="T91" s="21" t="str">
        <f t="shared" si="59"/>
        <v>268</v>
      </c>
      <c r="U91" s="21" t="str">
        <f t="shared" si="60"/>
        <v>A</v>
      </c>
      <c r="V91" s="22" t="str">
        <f t="shared" si="61"/>
        <v>509</v>
      </c>
      <c r="W91" s="23" t="str">
        <f t="shared" si="62"/>
        <v>84.83%</v>
      </c>
      <c r="X91" s="22" t="str">
        <f t="shared" si="63"/>
        <v>A</v>
      </c>
      <c r="Y91" s="22" t="str">
        <f t="shared" si="64"/>
        <v>Pass</v>
      </c>
      <c r="Z91" s="12"/>
      <c r="AA91" s="12"/>
      <c r="AB91" s="12"/>
    </row>
    <row r="92" ht="15.75" customHeight="1">
      <c r="A92" s="24" t="s">
        <v>223</v>
      </c>
      <c r="B92" s="25" t="s">
        <v>130</v>
      </c>
      <c r="C92" s="25" t="s">
        <v>232</v>
      </c>
      <c r="D92" s="24" t="s">
        <v>233</v>
      </c>
      <c r="E92" s="24">
        <v>4.0</v>
      </c>
      <c r="F92" s="27">
        <v>36.0</v>
      </c>
      <c r="G92" s="27">
        <v>45.0</v>
      </c>
      <c r="H92" s="27">
        <v>39.0</v>
      </c>
      <c r="I92" s="27">
        <v>38.0</v>
      </c>
      <c r="J92" s="27">
        <v>49.0</v>
      </c>
      <c r="K92" s="27">
        <v>49.0</v>
      </c>
      <c r="L92" s="20" t="str">
        <f t="shared" si="57"/>
        <v>256</v>
      </c>
      <c r="M92" s="20" t="str">
        <f t="shared" si="58"/>
        <v>A</v>
      </c>
      <c r="N92" s="28">
        <v>37.0</v>
      </c>
      <c r="O92" s="28">
        <v>43.0</v>
      </c>
      <c r="P92" s="28">
        <v>42.0</v>
      </c>
      <c r="Q92" s="28">
        <v>47.0</v>
      </c>
      <c r="R92" s="28">
        <v>46.0</v>
      </c>
      <c r="S92" s="28">
        <v>46.0</v>
      </c>
      <c r="T92" s="21" t="str">
        <f t="shared" si="59"/>
        <v>261</v>
      </c>
      <c r="U92" s="21" t="str">
        <f t="shared" si="60"/>
        <v>A</v>
      </c>
      <c r="V92" s="22" t="str">
        <f t="shared" si="61"/>
        <v>517</v>
      </c>
      <c r="W92" s="23" t="str">
        <f t="shared" si="62"/>
        <v>86.17%</v>
      </c>
      <c r="X92" s="22" t="str">
        <f t="shared" si="63"/>
        <v>A</v>
      </c>
      <c r="Y92" s="22" t="str">
        <f t="shared" si="64"/>
        <v>Pass</v>
      </c>
      <c r="Z92" s="12"/>
      <c r="AA92" s="12"/>
      <c r="AB92" s="12"/>
    </row>
    <row r="93" ht="15.75" customHeight="1">
      <c r="A93" s="16" t="s">
        <v>223</v>
      </c>
      <c r="B93" s="17" t="s">
        <v>234</v>
      </c>
      <c r="C93" s="17" t="s">
        <v>217</v>
      </c>
      <c r="D93" s="16" t="s">
        <v>235</v>
      </c>
      <c r="E93" s="16">
        <v>5.0</v>
      </c>
      <c r="F93" s="27">
        <v>39.0</v>
      </c>
      <c r="G93" s="27">
        <v>45.0</v>
      </c>
      <c r="H93" s="27">
        <v>37.0</v>
      </c>
      <c r="I93" s="27">
        <v>37.0</v>
      </c>
      <c r="J93" s="27">
        <v>45.0</v>
      </c>
      <c r="K93" s="27">
        <v>43.0</v>
      </c>
      <c r="L93" s="20" t="str">
        <f t="shared" si="57"/>
        <v>246</v>
      </c>
      <c r="M93" s="20" t="str">
        <f t="shared" si="58"/>
        <v>A</v>
      </c>
      <c r="N93" s="28">
        <v>39.0</v>
      </c>
      <c r="O93" s="28">
        <v>43.0</v>
      </c>
      <c r="P93" s="28">
        <v>49.0</v>
      </c>
      <c r="Q93" s="28">
        <v>48.0</v>
      </c>
      <c r="R93" s="28">
        <v>48.0</v>
      </c>
      <c r="S93" s="28">
        <v>49.0</v>
      </c>
      <c r="T93" s="21" t="str">
        <f t="shared" si="59"/>
        <v>276</v>
      </c>
      <c r="U93" s="21" t="str">
        <f t="shared" si="60"/>
        <v>A</v>
      </c>
      <c r="V93" s="22" t="str">
        <f t="shared" si="61"/>
        <v>522</v>
      </c>
      <c r="W93" s="23" t="str">
        <f t="shared" si="62"/>
        <v>87.00%</v>
      </c>
      <c r="X93" s="22" t="str">
        <f t="shared" si="63"/>
        <v>A</v>
      </c>
      <c r="Y93" s="22" t="str">
        <f t="shared" si="64"/>
        <v>Pass</v>
      </c>
      <c r="Z93" s="12"/>
      <c r="AA93" s="12"/>
      <c r="AB93" s="12"/>
    </row>
    <row r="94" ht="15.75" customHeight="1">
      <c r="A94" s="24" t="s">
        <v>223</v>
      </c>
      <c r="B94" s="25" t="s">
        <v>236</v>
      </c>
      <c r="C94" s="25" t="s">
        <v>237</v>
      </c>
      <c r="D94" s="24" t="s">
        <v>238</v>
      </c>
      <c r="E94" s="24">
        <v>6.0</v>
      </c>
      <c r="F94" s="27">
        <v>37.0</v>
      </c>
      <c r="G94" s="27">
        <v>42.0</v>
      </c>
      <c r="H94" s="27">
        <v>31.0</v>
      </c>
      <c r="I94" s="27">
        <v>35.0</v>
      </c>
      <c r="J94" s="27">
        <v>37.0</v>
      </c>
      <c r="K94" s="27">
        <v>37.0</v>
      </c>
      <c r="L94" s="20" t="str">
        <f t="shared" si="57"/>
        <v>219</v>
      </c>
      <c r="M94" s="20" t="str">
        <f t="shared" si="58"/>
        <v>B</v>
      </c>
      <c r="N94" s="28">
        <v>43.0</v>
      </c>
      <c r="O94" s="28">
        <v>46.0</v>
      </c>
      <c r="P94" s="28">
        <v>49.0</v>
      </c>
      <c r="Q94" s="28">
        <v>42.0</v>
      </c>
      <c r="R94" s="28">
        <v>42.0</v>
      </c>
      <c r="S94" s="28">
        <v>48.0</v>
      </c>
      <c r="T94" s="21" t="str">
        <f t="shared" si="59"/>
        <v>270</v>
      </c>
      <c r="U94" s="21" t="str">
        <f t="shared" si="60"/>
        <v>A</v>
      </c>
      <c r="V94" s="22" t="str">
        <f t="shared" si="61"/>
        <v>489</v>
      </c>
      <c r="W94" s="23" t="str">
        <f t="shared" si="62"/>
        <v>81.50%</v>
      </c>
      <c r="X94" s="22" t="str">
        <f t="shared" si="63"/>
        <v>A</v>
      </c>
      <c r="Y94" s="22" t="str">
        <f t="shared" si="64"/>
        <v>Pass</v>
      </c>
      <c r="Z94" s="12"/>
      <c r="AA94" s="12"/>
      <c r="AB94" s="12"/>
    </row>
    <row r="95" ht="15.75" customHeight="1">
      <c r="A95" s="16" t="s">
        <v>223</v>
      </c>
      <c r="B95" s="17" t="s">
        <v>239</v>
      </c>
      <c r="C95" s="17" t="s">
        <v>104</v>
      </c>
      <c r="D95" s="16" t="s">
        <v>192</v>
      </c>
      <c r="E95" s="16">
        <v>7.0</v>
      </c>
      <c r="F95" s="27">
        <v>37.0</v>
      </c>
      <c r="G95" s="27">
        <v>42.0</v>
      </c>
      <c r="H95" s="27">
        <v>33.0</v>
      </c>
      <c r="I95" s="27">
        <v>31.0</v>
      </c>
      <c r="J95" s="27">
        <v>39.0</v>
      </c>
      <c r="K95" s="27">
        <v>39.0</v>
      </c>
      <c r="L95" s="20" t="str">
        <f t="shared" si="57"/>
        <v>221</v>
      </c>
      <c r="M95" s="20" t="str">
        <f t="shared" si="58"/>
        <v>B</v>
      </c>
      <c r="N95" s="28">
        <v>44.0</v>
      </c>
      <c r="O95" s="28">
        <v>33.0</v>
      </c>
      <c r="P95" s="28">
        <v>48.0</v>
      </c>
      <c r="Q95" s="28">
        <v>43.0</v>
      </c>
      <c r="R95" s="28">
        <v>42.0</v>
      </c>
      <c r="S95" s="28">
        <v>49.0</v>
      </c>
      <c r="T95" s="21" t="str">
        <f t="shared" si="59"/>
        <v>259</v>
      </c>
      <c r="U95" s="21" t="str">
        <f t="shared" si="60"/>
        <v>A</v>
      </c>
      <c r="V95" s="22" t="str">
        <f t="shared" si="61"/>
        <v>480</v>
      </c>
      <c r="W95" s="23" t="str">
        <f t="shared" si="62"/>
        <v>80.00%</v>
      </c>
      <c r="X95" s="22" t="str">
        <f t="shared" si="63"/>
        <v>B</v>
      </c>
      <c r="Y95" s="22" t="str">
        <f t="shared" si="64"/>
        <v>Pass</v>
      </c>
      <c r="Z95" s="12"/>
      <c r="AA95" s="12"/>
      <c r="AB95" s="12"/>
    </row>
    <row r="96" ht="15.75" customHeight="1">
      <c r="A96" s="24" t="s">
        <v>223</v>
      </c>
      <c r="B96" s="25" t="s">
        <v>230</v>
      </c>
      <c r="C96" s="25" t="s">
        <v>240</v>
      </c>
      <c r="D96" s="24" t="s">
        <v>241</v>
      </c>
      <c r="E96" s="24">
        <v>8.0</v>
      </c>
      <c r="F96" s="27">
        <v>38.0</v>
      </c>
      <c r="G96" s="27">
        <v>40.0</v>
      </c>
      <c r="H96" s="27">
        <v>29.0</v>
      </c>
      <c r="I96" s="27">
        <v>38.0</v>
      </c>
      <c r="J96" s="27">
        <v>42.0</v>
      </c>
      <c r="K96" s="27">
        <v>36.0</v>
      </c>
      <c r="L96" s="20" t="str">
        <f t="shared" si="57"/>
        <v>223</v>
      </c>
      <c r="M96" s="20" t="str">
        <f t="shared" si="58"/>
        <v>B</v>
      </c>
      <c r="N96" s="28">
        <v>40.0</v>
      </c>
      <c r="O96" s="28">
        <v>43.0</v>
      </c>
      <c r="P96" s="28">
        <v>49.0</v>
      </c>
      <c r="Q96" s="28">
        <v>45.0</v>
      </c>
      <c r="R96" s="28">
        <v>37.0</v>
      </c>
      <c r="S96" s="28">
        <v>48.0</v>
      </c>
      <c r="T96" s="21" t="str">
        <f t="shared" si="59"/>
        <v>262</v>
      </c>
      <c r="U96" s="21" t="str">
        <f t="shared" si="60"/>
        <v>A</v>
      </c>
      <c r="V96" s="22" t="str">
        <f t="shared" si="61"/>
        <v>485</v>
      </c>
      <c r="W96" s="23" t="str">
        <f t="shared" si="62"/>
        <v>80.83%</v>
      </c>
      <c r="X96" s="22" t="str">
        <f t="shared" si="63"/>
        <v>B</v>
      </c>
      <c r="Y96" s="22" t="str">
        <f t="shared" si="64"/>
        <v>Pass</v>
      </c>
      <c r="Z96" s="12"/>
      <c r="AA96" s="12"/>
      <c r="AB96" s="12"/>
    </row>
    <row r="97" ht="15.75" customHeight="1">
      <c r="A97" s="16" t="s">
        <v>223</v>
      </c>
      <c r="B97" s="17" t="s">
        <v>242</v>
      </c>
      <c r="C97" s="17" t="s">
        <v>243</v>
      </c>
      <c r="D97" s="16" t="s">
        <v>192</v>
      </c>
      <c r="E97" s="16">
        <v>9.0</v>
      </c>
      <c r="F97" s="27">
        <v>32.0</v>
      </c>
      <c r="G97" s="27">
        <v>40.0</v>
      </c>
      <c r="H97" s="27">
        <v>22.0</v>
      </c>
      <c r="I97" s="27">
        <v>34.0</v>
      </c>
      <c r="J97" s="27">
        <v>40.0</v>
      </c>
      <c r="K97" s="27">
        <v>34.0</v>
      </c>
      <c r="L97" s="20" t="str">
        <f t="shared" si="57"/>
        <v>202</v>
      </c>
      <c r="M97" s="20" t="str">
        <f t="shared" si="58"/>
        <v>B</v>
      </c>
      <c r="N97" s="28">
        <v>27.0</v>
      </c>
      <c r="O97" s="28">
        <v>34.0</v>
      </c>
      <c r="P97" s="28">
        <v>48.0</v>
      </c>
      <c r="Q97" s="28">
        <v>41.0</v>
      </c>
      <c r="R97" s="28">
        <v>40.0</v>
      </c>
      <c r="S97" s="28">
        <v>44.0</v>
      </c>
      <c r="T97" s="21" t="str">
        <f t="shared" si="59"/>
        <v>234</v>
      </c>
      <c r="U97" s="21" t="str">
        <f t="shared" si="60"/>
        <v>B</v>
      </c>
      <c r="V97" s="22" t="str">
        <f t="shared" si="61"/>
        <v>436</v>
      </c>
      <c r="W97" s="23" t="str">
        <f t="shared" si="62"/>
        <v>72.67%</v>
      </c>
      <c r="X97" s="22" t="str">
        <f t="shared" si="63"/>
        <v>B</v>
      </c>
      <c r="Y97" s="22" t="str">
        <f t="shared" si="64"/>
        <v>Pass</v>
      </c>
      <c r="Z97" s="12"/>
      <c r="AA97" s="12"/>
      <c r="AB97" s="12"/>
    </row>
    <row r="98" ht="15.75" customHeight="1">
      <c r="A98" s="24" t="s">
        <v>223</v>
      </c>
      <c r="B98" s="25" t="s">
        <v>244</v>
      </c>
      <c r="C98" s="25" t="s">
        <v>245</v>
      </c>
      <c r="D98" s="24" t="s">
        <v>246</v>
      </c>
      <c r="E98" s="24">
        <v>10.0</v>
      </c>
      <c r="F98" s="27">
        <v>37.0</v>
      </c>
      <c r="G98" s="27">
        <v>41.0</v>
      </c>
      <c r="H98" s="27">
        <v>36.0</v>
      </c>
      <c r="I98" s="27">
        <v>38.0</v>
      </c>
      <c r="J98" s="27">
        <v>42.0</v>
      </c>
      <c r="K98" s="27">
        <v>42.0</v>
      </c>
      <c r="L98" s="20" t="str">
        <f t="shared" si="57"/>
        <v>236</v>
      </c>
      <c r="M98" s="20" t="str">
        <f t="shared" si="58"/>
        <v>B</v>
      </c>
      <c r="N98" s="28">
        <v>45.0</v>
      </c>
      <c r="O98" s="28">
        <v>32.0</v>
      </c>
      <c r="P98" s="28">
        <v>49.0</v>
      </c>
      <c r="Q98" s="28">
        <v>44.0</v>
      </c>
      <c r="R98" s="28">
        <v>42.0</v>
      </c>
      <c r="S98" s="28">
        <v>48.0</v>
      </c>
      <c r="T98" s="21" t="str">
        <f t="shared" si="59"/>
        <v>260</v>
      </c>
      <c r="U98" s="21" t="str">
        <f t="shared" si="60"/>
        <v>A</v>
      </c>
      <c r="V98" s="22" t="str">
        <f t="shared" si="61"/>
        <v>496</v>
      </c>
      <c r="W98" s="23" t="str">
        <f t="shared" si="62"/>
        <v>82.67%</v>
      </c>
      <c r="X98" s="22" t="str">
        <f t="shared" si="63"/>
        <v>A</v>
      </c>
      <c r="Y98" s="22" t="str">
        <f t="shared" si="64"/>
        <v>Pass</v>
      </c>
      <c r="Z98" s="12"/>
      <c r="AA98" s="12"/>
      <c r="AB98" s="12"/>
    </row>
    <row r="99" ht="15.75" customHeight="1">
      <c r="A99" s="16" t="s">
        <v>223</v>
      </c>
      <c r="B99" s="17" t="s">
        <v>239</v>
      </c>
      <c r="C99" s="17" t="s">
        <v>194</v>
      </c>
      <c r="D99" s="16" t="s">
        <v>247</v>
      </c>
      <c r="E99" s="16">
        <v>11.0</v>
      </c>
      <c r="F99" s="27">
        <v>36.0</v>
      </c>
      <c r="G99" s="27">
        <v>39.0</v>
      </c>
      <c r="H99" s="27">
        <v>34.0</v>
      </c>
      <c r="I99" s="27">
        <v>35.0</v>
      </c>
      <c r="J99" s="27">
        <v>41.0</v>
      </c>
      <c r="K99" s="27">
        <v>41.0</v>
      </c>
      <c r="L99" s="20" t="str">
        <f t="shared" si="57"/>
        <v>226</v>
      </c>
      <c r="M99" s="20" t="str">
        <f t="shared" si="58"/>
        <v>B</v>
      </c>
      <c r="N99" s="28">
        <v>43.0</v>
      </c>
      <c r="O99" s="28">
        <v>39.0</v>
      </c>
      <c r="P99" s="28">
        <v>49.0</v>
      </c>
      <c r="Q99" s="28">
        <v>43.0</v>
      </c>
      <c r="R99" s="28">
        <v>41.0</v>
      </c>
      <c r="S99" s="28">
        <v>46.0</v>
      </c>
      <c r="T99" s="21" t="str">
        <f t="shared" si="59"/>
        <v>261</v>
      </c>
      <c r="U99" s="21" t="str">
        <f t="shared" si="60"/>
        <v>A</v>
      </c>
      <c r="V99" s="22" t="str">
        <f t="shared" si="61"/>
        <v>487</v>
      </c>
      <c r="W99" s="23" t="str">
        <f t="shared" si="62"/>
        <v>81.17%</v>
      </c>
      <c r="X99" s="22" t="str">
        <f t="shared" si="63"/>
        <v>A</v>
      </c>
      <c r="Y99" s="22" t="str">
        <f t="shared" si="64"/>
        <v>Pass</v>
      </c>
      <c r="Z99" s="12"/>
      <c r="AA99" s="12"/>
      <c r="AB99" s="12"/>
    </row>
    <row r="100" ht="15.75" customHeight="1">
      <c r="A100" s="24" t="s">
        <v>223</v>
      </c>
      <c r="B100" s="25" t="s">
        <v>242</v>
      </c>
      <c r="C100" s="25" t="s">
        <v>248</v>
      </c>
      <c r="D100" s="24" t="s">
        <v>249</v>
      </c>
      <c r="E100" s="24">
        <v>12.0</v>
      </c>
      <c r="F100" s="27">
        <v>36.0</v>
      </c>
      <c r="G100" s="27">
        <v>39.0</v>
      </c>
      <c r="H100" s="27">
        <v>33.0</v>
      </c>
      <c r="I100" s="27">
        <v>33.0</v>
      </c>
      <c r="J100" s="27">
        <v>30.0</v>
      </c>
      <c r="K100" s="27">
        <v>36.0</v>
      </c>
      <c r="L100" s="20" t="str">
        <f t="shared" si="57"/>
        <v>207</v>
      </c>
      <c r="M100" s="20" t="str">
        <f t="shared" si="58"/>
        <v>B</v>
      </c>
      <c r="N100" s="28">
        <v>39.0</v>
      </c>
      <c r="O100" s="28">
        <v>43.0</v>
      </c>
      <c r="P100" s="28">
        <v>48.0</v>
      </c>
      <c r="Q100" s="28">
        <v>43.0</v>
      </c>
      <c r="R100" s="28">
        <v>40.0</v>
      </c>
      <c r="S100" s="28">
        <v>45.0</v>
      </c>
      <c r="T100" s="21" t="str">
        <f t="shared" si="59"/>
        <v>258</v>
      </c>
      <c r="U100" s="21" t="str">
        <f t="shared" si="60"/>
        <v>A</v>
      </c>
      <c r="V100" s="22" t="str">
        <f t="shared" si="61"/>
        <v>465</v>
      </c>
      <c r="W100" s="23" t="str">
        <f t="shared" si="62"/>
        <v>77.50%</v>
      </c>
      <c r="X100" s="22" t="str">
        <f t="shared" si="63"/>
        <v>B</v>
      </c>
      <c r="Y100" s="22" t="str">
        <f t="shared" si="64"/>
        <v>Pass</v>
      </c>
      <c r="Z100" s="12"/>
      <c r="AA100" s="12"/>
      <c r="AB100" s="12"/>
    </row>
    <row r="101" ht="15.75" customHeight="1">
      <c r="A101" s="16" t="s">
        <v>223</v>
      </c>
      <c r="B101" s="17" t="s">
        <v>250</v>
      </c>
      <c r="C101" s="17" t="s">
        <v>251</v>
      </c>
      <c r="D101" s="16" t="s">
        <v>252</v>
      </c>
      <c r="E101" s="16">
        <v>13.0</v>
      </c>
      <c r="F101" s="27">
        <v>37.0</v>
      </c>
      <c r="G101" s="27">
        <v>38.0</v>
      </c>
      <c r="H101" s="27">
        <v>32.0</v>
      </c>
      <c r="I101" s="27">
        <v>33.0</v>
      </c>
      <c r="J101" s="27">
        <v>30.0</v>
      </c>
      <c r="K101" s="27">
        <v>30.0</v>
      </c>
      <c r="L101" s="20" t="str">
        <f t="shared" si="57"/>
        <v>200</v>
      </c>
      <c r="M101" s="20" t="str">
        <f t="shared" si="58"/>
        <v>B</v>
      </c>
      <c r="N101" s="28">
        <v>35.0</v>
      </c>
      <c r="O101" s="28">
        <v>34.0</v>
      </c>
      <c r="P101" s="28">
        <v>38.0</v>
      </c>
      <c r="Q101" s="28">
        <v>39.0</v>
      </c>
      <c r="R101" s="28">
        <v>32.0</v>
      </c>
      <c r="S101" s="28">
        <v>33.0</v>
      </c>
      <c r="T101" s="21" t="str">
        <f t="shared" si="59"/>
        <v>211</v>
      </c>
      <c r="U101" s="21" t="str">
        <f t="shared" si="60"/>
        <v>B</v>
      </c>
      <c r="V101" s="22" t="str">
        <f t="shared" si="61"/>
        <v>411</v>
      </c>
      <c r="W101" s="23" t="str">
        <f t="shared" si="62"/>
        <v>68.50%</v>
      </c>
      <c r="X101" s="22" t="str">
        <f t="shared" si="63"/>
        <v>B</v>
      </c>
      <c r="Y101" s="22" t="str">
        <f t="shared" si="64"/>
        <v>Pass</v>
      </c>
      <c r="Z101" s="12"/>
      <c r="AA101" s="12"/>
      <c r="AB101" s="12"/>
    </row>
    <row r="102" ht="15.75" customHeight="1">
      <c r="A102" s="24" t="s">
        <v>223</v>
      </c>
      <c r="B102" s="25" t="s">
        <v>253</v>
      </c>
      <c r="C102" s="25" t="s">
        <v>202</v>
      </c>
      <c r="D102" s="24" t="s">
        <v>254</v>
      </c>
      <c r="E102" s="24">
        <v>14.0</v>
      </c>
      <c r="F102" s="27">
        <v>36.0</v>
      </c>
      <c r="G102" s="27">
        <v>41.0</v>
      </c>
      <c r="H102" s="27">
        <v>26.0</v>
      </c>
      <c r="I102" s="27">
        <v>32.0</v>
      </c>
      <c r="J102" s="27">
        <v>37.0</v>
      </c>
      <c r="K102" s="27">
        <v>40.0</v>
      </c>
      <c r="L102" s="20" t="str">
        <f t="shared" si="57"/>
        <v>212</v>
      </c>
      <c r="M102" s="20" t="str">
        <f t="shared" si="58"/>
        <v>B</v>
      </c>
      <c r="N102" s="28">
        <v>42.0</v>
      </c>
      <c r="O102" s="28">
        <v>39.0</v>
      </c>
      <c r="P102" s="28">
        <v>48.0</v>
      </c>
      <c r="Q102" s="28">
        <v>40.0</v>
      </c>
      <c r="R102" s="28">
        <v>40.0</v>
      </c>
      <c r="S102" s="28">
        <v>46.0</v>
      </c>
      <c r="T102" s="21" t="str">
        <f t="shared" si="59"/>
        <v>255</v>
      </c>
      <c r="U102" s="21" t="str">
        <f t="shared" si="60"/>
        <v>A</v>
      </c>
      <c r="V102" s="22" t="str">
        <f t="shared" si="61"/>
        <v>467</v>
      </c>
      <c r="W102" s="23" t="str">
        <f t="shared" si="62"/>
        <v>77.83%</v>
      </c>
      <c r="X102" s="22" t="str">
        <f t="shared" si="63"/>
        <v>B</v>
      </c>
      <c r="Y102" s="22" t="str">
        <f t="shared" si="64"/>
        <v>Pass</v>
      </c>
      <c r="Z102" s="12"/>
      <c r="AA102" s="12"/>
      <c r="AB102" s="12"/>
    </row>
    <row r="103" ht="15.75" customHeight="1">
      <c r="A103" s="16" t="s">
        <v>223</v>
      </c>
      <c r="B103" s="17" t="s">
        <v>255</v>
      </c>
      <c r="C103" s="17" t="s">
        <v>256</v>
      </c>
      <c r="D103" s="16" t="s">
        <v>257</v>
      </c>
      <c r="E103" s="16">
        <v>15.0</v>
      </c>
      <c r="F103" s="27">
        <v>33.0</v>
      </c>
      <c r="G103" s="27">
        <v>40.0</v>
      </c>
      <c r="H103" s="27">
        <v>23.0</v>
      </c>
      <c r="I103" s="27">
        <v>28.0</v>
      </c>
      <c r="J103" s="27">
        <v>33.0</v>
      </c>
      <c r="K103" s="27">
        <v>35.0</v>
      </c>
      <c r="L103" s="20" t="str">
        <f t="shared" si="57"/>
        <v>192</v>
      </c>
      <c r="M103" s="20" t="str">
        <f t="shared" si="58"/>
        <v>B</v>
      </c>
      <c r="N103" s="28">
        <v>41.0</v>
      </c>
      <c r="O103" s="28">
        <v>39.0</v>
      </c>
      <c r="P103" s="28">
        <v>49.0</v>
      </c>
      <c r="Q103" s="28">
        <v>32.0</v>
      </c>
      <c r="R103" s="28">
        <v>33.0</v>
      </c>
      <c r="S103" s="28">
        <v>41.0</v>
      </c>
      <c r="T103" s="21" t="str">
        <f t="shared" si="59"/>
        <v>235</v>
      </c>
      <c r="U103" s="21" t="str">
        <f t="shared" si="60"/>
        <v>B</v>
      </c>
      <c r="V103" s="22" t="str">
        <f t="shared" si="61"/>
        <v>427</v>
      </c>
      <c r="W103" s="23" t="str">
        <f t="shared" si="62"/>
        <v>71.17%</v>
      </c>
      <c r="X103" s="22" t="str">
        <f t="shared" si="63"/>
        <v>B</v>
      </c>
      <c r="Y103" s="22" t="str">
        <f t="shared" si="64"/>
        <v>Pass</v>
      </c>
      <c r="Z103" s="12"/>
      <c r="AA103" s="12"/>
      <c r="AB103" s="12"/>
    </row>
  </sheetData>
  <mergeCells count="15">
    <mergeCell ref="A6:Y6"/>
    <mergeCell ref="A15:Y15"/>
    <mergeCell ref="A23:Y23"/>
    <mergeCell ref="A30:Y30"/>
    <mergeCell ref="A42:Y42"/>
    <mergeCell ref="A52:Y52"/>
    <mergeCell ref="A71:Y71"/>
    <mergeCell ref="A88:Y88"/>
    <mergeCell ref="A1:AB1"/>
    <mergeCell ref="A2:AB2"/>
    <mergeCell ref="A3:AB3"/>
    <mergeCell ref="A4:E4"/>
    <mergeCell ref="F4:M4"/>
    <mergeCell ref="N4:U4"/>
    <mergeCell ref="V4:Y4"/>
  </mergeCells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2026-03-24T05:29:48Z</dcterms:created>
  <dc:creator>openpyxl</dc:creator>
  <dc:description/>
  <dc:language>en-US</dc:language>
  <cp:lastModifiedBy>Vikash Kumar</cp:lastModifiedBy>
  <dcterms:modified xsi:type="dcterms:W3CDTF">2026-03-24T10:10:40Z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